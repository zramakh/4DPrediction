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edict" sheetId="1" state="visible" r:id="rId3"/>
    <sheet name="How to use" sheetId="2" state="visible" r:id="rId4"/>
    <sheet name="Tables" sheetId="3" state="visible" r:id="rId5"/>
    <sheet name="Calendar" sheetId="4" state="visible" r:id="rId6"/>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3" authorId="0">
      <text>
        <r>
          <rPr>
            <sz val="10"/>
            <rFont val="Arial"/>
            <family val="2"/>
          </rPr>
          <t xml:space="preserve">Type any date from 2026-10-15 to 2027-12-28 (the Calendar sheet). Example: 2026-10-18.</t>
        </r>
      </text>
    </comment>
  </commentList>
</comments>
</file>

<file path=xl/sharedStrings.xml><?xml version="1.0" encoding="utf-8"?>
<sst xmlns="http://schemas.openxmlformats.org/spreadsheetml/2006/main" count="3352" uniqueCount="211">
  <si>
    <t xml:space="preserve">4D manual formula: top 5 numbers for a draw date</t>
  </si>
  <si>
    <t xml:space="preserve">Draw date</t>
  </si>
  <si>
    <t xml:space="preserve">Yellow cell = the only input. Everything else is calculated.</t>
  </si>
  <si>
    <t xml:space="preserve">Step 1: the date's parameters</t>
  </si>
  <si>
    <t xml:space="preserve">RESULT: top 5 numbers</t>
  </si>
  <si>
    <t xml:space="preserve">Parameter</t>
  </si>
  <si>
    <t xml:space="preserve">Value on this date</t>
  </si>
  <si>
    <t xml:space="preserve">Lookup key</t>
  </si>
  <si>
    <t xml:space="preserve">Rank</t>
  </si>
  <si>
    <t xml:space="preserve">Number</t>
  </si>
  <si>
    <t xml:space="preserve">Points</t>
  </si>
  <si>
    <t xml:space="preserve">Chinese year yin/yang</t>
  </si>
  <si>
    <t xml:space="preserve">Venus combust (Vedic)</t>
  </si>
  <si>
    <t xml:space="preserve">Jupiter combust (Vedic)</t>
  </si>
  <si>
    <t xml:space="preserve">Masa, lunar month (Vedic)</t>
  </si>
  <si>
    <t xml:space="preserve">Chinese year heavenly stem</t>
  </si>
  <si>
    <t xml:space="preserve">Chinese lunar day</t>
  </si>
  <si>
    <t xml:space="preserve">Same numbers for Magnum, Sports Toto and Da Ma Cai (the tables pool all three).</t>
  </si>
  <si>
    <t xml:space="preserve">Not a guarantee: see the 'How to use' sheet for the tested hit rate.</t>
  </si>
  <si>
    <t xml:space="preserve">Step 2: points from each parameter's table (position 1-4, digit 0-9)</t>
  </si>
  <si>
    <t xml:space="preserve">P1 0</t>
  </si>
  <si>
    <t xml:space="preserve">P1 1</t>
  </si>
  <si>
    <t xml:space="preserve">P1 2</t>
  </si>
  <si>
    <t xml:space="preserve">P1 3</t>
  </si>
  <si>
    <t xml:space="preserve">P1 4</t>
  </si>
  <si>
    <t xml:space="preserve">P1 5</t>
  </si>
  <si>
    <t xml:space="preserve">P1 6</t>
  </si>
  <si>
    <t xml:space="preserve">P1 7</t>
  </si>
  <si>
    <t xml:space="preserve">P1 8</t>
  </si>
  <si>
    <t xml:space="preserve">P1 9</t>
  </si>
  <si>
    <t xml:space="preserve">P2 0</t>
  </si>
  <si>
    <t xml:space="preserve">P2 1</t>
  </si>
  <si>
    <t xml:space="preserve">P2 2</t>
  </si>
  <si>
    <t xml:space="preserve">P2 3</t>
  </si>
  <si>
    <t xml:space="preserve">P2 4</t>
  </si>
  <si>
    <t xml:space="preserve">P2 5</t>
  </si>
  <si>
    <t xml:space="preserve">P2 6</t>
  </si>
  <si>
    <t xml:space="preserve">P2 7</t>
  </si>
  <si>
    <t xml:space="preserve">P2 8</t>
  </si>
  <si>
    <t xml:space="preserve">P2 9</t>
  </si>
  <si>
    <t xml:space="preserve">P3 0</t>
  </si>
  <si>
    <t xml:space="preserve">P3 1</t>
  </si>
  <si>
    <t xml:space="preserve">P3 2</t>
  </si>
  <si>
    <t xml:space="preserve">P3 3</t>
  </si>
  <si>
    <t xml:space="preserve">P3 4</t>
  </si>
  <si>
    <t xml:space="preserve">P3 5</t>
  </si>
  <si>
    <t xml:space="preserve">P3 6</t>
  </si>
  <si>
    <t xml:space="preserve">P3 7</t>
  </si>
  <si>
    <t xml:space="preserve">P3 8</t>
  </si>
  <si>
    <t xml:space="preserve">P3 9</t>
  </si>
  <si>
    <t xml:space="preserve">P4 0</t>
  </si>
  <si>
    <t xml:space="preserve">P4 1</t>
  </si>
  <si>
    <t xml:space="preserve">P4 2</t>
  </si>
  <si>
    <t xml:space="preserve">P4 3</t>
  </si>
  <si>
    <t xml:space="preserve">P4 4</t>
  </si>
  <si>
    <t xml:space="preserve">P4 5</t>
  </si>
  <si>
    <t xml:space="preserve">P4 6</t>
  </si>
  <si>
    <t xml:space="preserve">P4 7</t>
  </si>
  <si>
    <t xml:space="preserve">P4 8</t>
  </si>
  <si>
    <t xml:space="preserve">P4 9</t>
  </si>
  <si>
    <t xml:space="preserve">Step 3: total points = sum of the rows above (best digit per position highlighted)</t>
  </si>
  <si>
    <t xml:space="preserve">Position</t>
  </si>
  <si>
    <t xml:space="preserve">Best digit</t>
  </si>
  <si>
    <t xml:space="preserve">2nd best</t>
  </si>
  <si>
    <t xml:space="preserve">Tie-break helper (points + digit/1,000,000)</t>
  </si>
  <si>
    <t xml:space="preserve">Position 1</t>
  </si>
  <si>
    <t xml:space="preserve">Position 2</t>
  </si>
  <si>
    <t xml:space="preserve">Position 3</t>
  </si>
  <si>
    <t xml:space="preserve">Position 4</t>
  </si>
  <si>
    <t xml:space="preserve">Step 4: the 16 combinations of best / 2nd-best digits (0 = best, 1 = 2nd best)</t>
  </si>
  <si>
    <t xml:space="preserve">#</t>
  </si>
  <si>
    <t xml:space="preserve">Pos1</t>
  </si>
  <si>
    <t xml:space="preserve">Pos2</t>
  </si>
  <si>
    <t xml:space="preserve">Pos3</t>
  </si>
  <si>
    <t xml:space="preserve">Pos4</t>
  </si>
  <si>
    <t xml:space="preserve">Total points</t>
  </si>
  <si>
    <t xml:space="preserve">4D manual formula (Vedic + Chinese parameters)</t>
  </si>
  <si>
    <t xml:space="preserve">How to use</t>
  </si>
  <si>
    <t xml:space="preserve">1. Go to the Predict sheet and type the draw date in the yellow cell B3.</t>
  </si>
  <si>
    <t xml:space="preserve">2. Read the top 5 numbers in the green box (column Q). The steps below the date show how they are worked out.</t>
  </si>
  <si>
    <t xml:space="preserve">3. To do it fully by hand: look up the date's six parameter values (Calendar sheet), find each value's row in the Tables sheet, add the six rows together column by column, take the highest digit in each position.</t>
  </si>
  <si>
    <t xml:space="preserve">The formula</t>
  </si>
  <si>
    <t xml:space="preserve">Points(position p, digit d) = sum over the 6 parameters of TABLE[parameter value on the date][p][d]</t>
  </si>
  <si>
    <t xml:space="preserve">Number #1 = the digit with the most points in each of the 4 positions.</t>
  </si>
  <si>
    <t xml:space="preserve">Numbers #2-#5 = the next best of the 16 combinations of each position's best and 2nd-best digit, by total points.</t>
  </si>
  <si>
    <t xml:space="preserve">Parameters (chosen on 2012-2017 draws, then frozen): Chinese year yin/yang (weight 0.3), Venus combust (Vedic) (weight 0.3), Jupiter combust (Vedic) (weight 0.3), Masa, lunar month (Vedic) (weight 0.1), Chinese year heavenly stem (weight 0.1), Chinese lunar day (weight 0.1)</t>
  </si>
  <si>
    <t xml:space="preserve">How it performed on 2018-2026 draws it had not seen (tables rebuilt each January from earlier draws only)</t>
  </si>
  <si>
    <t xml:space="preserve">Top 5 numbers: 66 wins of any prize in 4186 draws vs 48.1 for random picks (1.373x, z = 2.58); Big Forecast return RM1.046 per RM1.</t>
  </si>
  <si>
    <t xml:space="preserve">Top 1 number: 13 wins vs 9.6 (1.352x); return RM0.416 per RM1.</t>
  </si>
  <si>
    <t xml:space="preserve">By operator (top 5): Magnum 1.304x, Sports Toto 1.12x, Da Ma Cai 1.697x</t>
  </si>
  <si>
    <t xml:space="preserve">Read this before betting</t>
  </si>
  <si>
    <t xml:space="preserve">This was about the 16th formula tested in this project. Allowing for that, a result this good happens by luck roughly 1 time in 5-10.</t>
  </si>
  <si>
    <t xml:space="preserve">The picks are mostly 9-heavy numbers (9999, 9989, 9899, 9998, 8999 ...) and stay the same for weeks, because most of the six parameters change only monthly or yearly.</t>
  </si>
  <si>
    <t xml:space="preserve">The return above RM1 comes from a handful of prizes (2 x 1st, 9 x 2nd in 4,186 draws) and can disappear with the next few draws. Treat it as a hypothesis under forward test, not an edge.</t>
  </si>
  <si>
    <t xml:space="preserve">Live forward test: analysis/forward_log.csv in the 4DPrediction repository.</t>
  </si>
  <si>
    <t xml:space="preserve">Legend: yellow = input cell; blue = fixed data (tables, calendar); green = looked up from another sheet; black = calculated.</t>
  </si>
  <si>
    <t xml:space="preserve">Value</t>
  </si>
  <si>
    <t xml:space="preserve">Key</t>
  </si>
  <si>
    <t xml:space="preserve">P1 d0</t>
  </si>
  <si>
    <t xml:space="preserve">P1 d1</t>
  </si>
  <si>
    <t xml:space="preserve">P1 d2</t>
  </si>
  <si>
    <t xml:space="preserve">P1 d3</t>
  </si>
  <si>
    <t xml:space="preserve">P1 d4</t>
  </si>
  <si>
    <t xml:space="preserve">P1 d5</t>
  </si>
  <si>
    <t xml:space="preserve">P1 d6</t>
  </si>
  <si>
    <t xml:space="preserve">P1 d7</t>
  </si>
  <si>
    <t xml:space="preserve">P1 d8</t>
  </si>
  <si>
    <t xml:space="preserve">P1 d9</t>
  </si>
  <si>
    <t xml:space="preserve">P2 d0</t>
  </si>
  <si>
    <t xml:space="preserve">P2 d1</t>
  </si>
  <si>
    <t xml:space="preserve">P2 d2</t>
  </si>
  <si>
    <t xml:space="preserve">P2 d3</t>
  </si>
  <si>
    <t xml:space="preserve">P2 d4</t>
  </si>
  <si>
    <t xml:space="preserve">P2 d5</t>
  </si>
  <si>
    <t xml:space="preserve">P2 d6</t>
  </si>
  <si>
    <t xml:space="preserve">P2 d7</t>
  </si>
  <si>
    <t xml:space="preserve">P2 d8</t>
  </si>
  <si>
    <t xml:space="preserve">P2 d9</t>
  </si>
  <si>
    <t xml:space="preserve">P3 d0</t>
  </si>
  <si>
    <t xml:space="preserve">P3 d1</t>
  </si>
  <si>
    <t xml:space="preserve">P3 d2</t>
  </si>
  <si>
    <t xml:space="preserve">P3 d3</t>
  </si>
  <si>
    <t xml:space="preserve">P3 d4</t>
  </si>
  <si>
    <t xml:space="preserve">P3 d5</t>
  </si>
  <si>
    <t xml:space="preserve">P3 d6</t>
  </si>
  <si>
    <t xml:space="preserve">P3 d7</t>
  </si>
  <si>
    <t xml:space="preserve">P3 d8</t>
  </si>
  <si>
    <t xml:space="preserve">P3 d9</t>
  </si>
  <si>
    <t xml:space="preserve">P4 d0</t>
  </si>
  <si>
    <t xml:space="preserve">P4 d1</t>
  </si>
  <si>
    <t xml:space="preserve">P4 d2</t>
  </si>
  <si>
    <t xml:space="preserve">P4 d3</t>
  </si>
  <si>
    <t xml:space="preserve">P4 d4</t>
  </si>
  <si>
    <t xml:space="preserve">P4 d5</t>
  </si>
  <si>
    <t xml:space="preserve">P4 d6</t>
  </si>
  <si>
    <t xml:space="preserve">P4 d7</t>
  </si>
  <si>
    <t xml:space="preserve">P4 d8</t>
  </si>
  <si>
    <t xml:space="preserve">P4 d9</t>
  </si>
  <si>
    <t xml:space="preserve">year_yinyang</t>
  </si>
  <si>
    <t xml:space="preserve">Yang</t>
  </si>
  <si>
    <t xml:space="preserve">Yin</t>
  </si>
  <si>
    <t xml:space="preserve">venus_combust</t>
  </si>
  <si>
    <t xml:space="preserve">False</t>
  </si>
  <si>
    <t xml:space="preserve">True</t>
  </si>
  <si>
    <t xml:space="preserve">jupiter_combust</t>
  </si>
  <si>
    <t xml:space="preserve">masa</t>
  </si>
  <si>
    <t xml:space="preserve">Ashadha</t>
  </si>
  <si>
    <t xml:space="preserve">Ashvin</t>
  </si>
  <si>
    <t xml:space="preserve">Bhadrapada</t>
  </si>
  <si>
    <t xml:space="preserve">Chaitra</t>
  </si>
  <si>
    <t xml:space="preserve">Jyeshtha</t>
  </si>
  <si>
    <t xml:space="preserve">Kartika</t>
  </si>
  <si>
    <t xml:space="preserve">Magha</t>
  </si>
  <si>
    <t xml:space="preserve">Margashirsha</t>
  </si>
  <si>
    <t xml:space="preserve">Pausha</t>
  </si>
  <si>
    <t xml:space="preserve">Phalguna</t>
  </si>
  <si>
    <t xml:space="preserve">Shravana</t>
  </si>
  <si>
    <t xml:space="preserve">Vaishakha</t>
  </si>
  <si>
    <t xml:space="preserve">year_stem</t>
  </si>
  <si>
    <t xml:space="preserve">Bing</t>
  </si>
  <si>
    <t xml:space="preserve">Ding</t>
  </si>
  <si>
    <t xml:space="preserve">Geng</t>
  </si>
  <si>
    <t xml:space="preserve">Gui</t>
  </si>
  <si>
    <t xml:space="preserve">Ji</t>
  </si>
  <si>
    <t xml:space="preserve">Jia</t>
  </si>
  <si>
    <t xml:space="preserve">Ren</t>
  </si>
  <si>
    <t xml:space="preserve">Wu</t>
  </si>
  <si>
    <t xml:space="preserve">Xin</t>
  </si>
  <si>
    <t xml:space="preserve">Yi</t>
  </si>
  <si>
    <t xml:space="preserve">lunar_day</t>
  </si>
  <si>
    <t xml:space="preserve">1</t>
  </si>
  <si>
    <t xml:space="preserve">10</t>
  </si>
  <si>
    <t xml:space="preserve">11</t>
  </si>
  <si>
    <t xml:space="preserve">12</t>
  </si>
  <si>
    <t xml:space="preserve">13</t>
  </si>
  <si>
    <t xml:space="preserve">14</t>
  </si>
  <si>
    <t xml:space="preserve">15</t>
  </si>
  <si>
    <t xml:space="preserve">16</t>
  </si>
  <si>
    <t xml:space="preserve">17</t>
  </si>
  <si>
    <t xml:space="preserve">18</t>
  </si>
  <si>
    <t xml:space="preserve">19</t>
  </si>
  <si>
    <t xml:space="preserve">2</t>
  </si>
  <si>
    <t xml:space="preserve">20</t>
  </si>
  <si>
    <t xml:space="preserve">21</t>
  </si>
  <si>
    <t xml:space="preserve">22</t>
  </si>
  <si>
    <t xml:space="preserve">23</t>
  </si>
  <si>
    <t xml:space="preserve">24</t>
  </si>
  <si>
    <t xml:space="preserve">25</t>
  </si>
  <si>
    <t xml:space="preserve">26</t>
  </si>
  <si>
    <t xml:space="preserve">27</t>
  </si>
  <si>
    <t xml:space="preserve">28</t>
  </si>
  <si>
    <t xml:space="preserve">29</t>
  </si>
  <si>
    <t xml:space="preserve">3</t>
  </si>
  <si>
    <t xml:space="preserve">30</t>
  </si>
  <si>
    <t xml:space="preserve">4</t>
  </si>
  <si>
    <t xml:space="preserve">5</t>
  </si>
  <si>
    <t xml:space="preserve">6</t>
  </si>
  <si>
    <t xml:space="preserve">7</t>
  </si>
  <si>
    <t xml:space="preserve">8</t>
  </si>
  <si>
    <t xml:space="preserve">9</t>
  </si>
  <si>
    <t xml:space="preserve">Points = round(100 x weight x log[ share of digit d at position p among past winners on dates with this value / its overall share ]), from all Magnum, Sports Toto and Da Ma Cai draws 1985 to 2026-10-14 (each number once per draw, smoothed with 50 pseudo-draws). Source: data/*.csv, analysis/manual_formula.py.</t>
  </si>
  <si>
    <t xml:space="preserve">Date</t>
  </si>
  <si>
    <t xml:space="preserve">Weekday</t>
  </si>
  <si>
    <t xml:space="preserve">Thu</t>
  </si>
  <si>
    <t xml:space="preserve">Fri</t>
  </si>
  <si>
    <t xml:space="preserve">Sat</t>
  </si>
  <si>
    <t xml:space="preserve">Sun</t>
  </si>
  <si>
    <t xml:space="preserve">Mon</t>
  </si>
  <si>
    <t xml:space="preserve">Tue</t>
  </si>
  <si>
    <t xml:space="preserve">Wed</t>
  </si>
  <si>
    <t xml:space="preserve">Parameter values at 19:00 Malaysia time, computed by analysis/almanac.py (Meeus ephemeris, Lahiri ayanamsa, Chinese lunisolar calendar).</t>
  </si>
</sst>
</file>

<file path=xl/styles.xml><?xml version="1.0" encoding="utf-8"?>
<styleSheet xmlns="http://schemas.openxmlformats.org/spreadsheetml/2006/main">
  <numFmts count="4">
    <numFmt numFmtId="164" formatCode="General"/>
    <numFmt numFmtId="165" formatCode="yyyy\-mm\-dd"/>
    <numFmt numFmtId="166" formatCode="0"/>
    <numFmt numFmtId="167" formatCode="General"/>
  </numFmts>
  <fonts count="14">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name val="Arial"/>
      <family val="0"/>
      <charset val="1"/>
    </font>
    <font>
      <sz val="11"/>
      <color rgb="FF0000FF"/>
      <name val="Arial"/>
      <family val="0"/>
      <charset val="1"/>
    </font>
    <font>
      <sz val="11"/>
      <color rgb="FF008000"/>
      <name val="Arial"/>
      <family val="0"/>
      <charset val="1"/>
    </font>
    <font>
      <i val="true"/>
      <sz val="11"/>
      <name val="Arial"/>
      <family val="0"/>
      <charset val="1"/>
    </font>
    <font>
      <sz val="11"/>
      <name val="Arial"/>
      <family val="0"/>
      <charset val="1"/>
    </font>
    <font>
      <b val="true"/>
      <sz val="13"/>
      <name val="Arial"/>
      <family val="0"/>
      <charset val="1"/>
    </font>
    <font>
      <i val="true"/>
      <sz val="11"/>
      <color rgb="FF999999"/>
      <name val="Arial"/>
      <family val="0"/>
      <charset val="1"/>
    </font>
    <font>
      <sz val="11"/>
      <color rgb="FF999999"/>
      <name val="Arial"/>
      <family val="0"/>
      <charset val="1"/>
    </font>
    <font>
      <sz val="10"/>
      <name val="Arial"/>
      <family val="2"/>
    </font>
  </fonts>
  <fills count="5">
    <fill>
      <patternFill patternType="none"/>
    </fill>
    <fill>
      <patternFill patternType="gray125"/>
    </fill>
    <fill>
      <patternFill patternType="solid">
        <fgColor rgb="FFFFFF00"/>
        <bgColor rgb="FFFFFF00"/>
      </patternFill>
    </fill>
    <fill>
      <patternFill patternType="solid">
        <fgColor rgb="FFEEEEEE"/>
        <bgColor rgb="FFFFFFCC"/>
      </patternFill>
    </fill>
    <fill>
      <patternFill patternType="solid">
        <fgColor rgb="FFC6EFCE"/>
        <bgColor rgb="FFCCFFFF"/>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4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4"/>
    <col collapsed="false" customWidth="true" hidden="false" outlineLevel="0" max="3" min="3" style="0" width="22"/>
    <col collapsed="false" customWidth="true" hidden="false" outlineLevel="0" max="16" min="4" style="0" width="7"/>
    <col collapsed="false" customWidth="true" hidden="false" outlineLevel="0" max="17" min="17" style="0" width="12"/>
    <col collapsed="false" customWidth="true" hidden="false" outlineLevel="0" max="43" min="18" style="0" width="7"/>
  </cols>
  <sheetData>
    <row r="1" customFormat="false" ht="17.35" hidden="false" customHeight="false" outlineLevel="0" collapsed="false">
      <c r="A1" s="1" t="s">
        <v>0</v>
      </c>
    </row>
    <row r="3" customFormat="false" ht="15" hidden="false" customHeight="false" outlineLevel="0" collapsed="false">
      <c r="A3" s="2" t="s">
        <v>1</v>
      </c>
      <c r="B3" s="3" t="n">
        <v>46313</v>
      </c>
      <c r="C3" s="4" t="str">
        <f aca="false">IFERROR(INDEX(Calendar!$B$2:$B$441,MATCH($B$3,Calendar!$A$2:$A$441,0)),"date not in Calendar")</f>
        <v>Sun</v>
      </c>
      <c r="E3" s="5" t="s">
        <v>2</v>
      </c>
    </row>
    <row r="5" customFormat="false" ht="17.35" hidden="false" customHeight="false" outlineLevel="0" collapsed="false">
      <c r="A5" s="2" t="s">
        <v>3</v>
      </c>
      <c r="P5" s="1" t="s">
        <v>4</v>
      </c>
    </row>
    <row r="6" customFormat="false" ht="15" hidden="false" customHeight="false" outlineLevel="0" collapsed="false">
      <c r="A6" s="6" t="s">
        <v>5</v>
      </c>
      <c r="B6" s="6" t="s">
        <v>6</v>
      </c>
      <c r="C6" s="6" t="s">
        <v>7</v>
      </c>
      <c r="P6" s="6" t="s">
        <v>8</v>
      </c>
      <c r="Q6" s="6" t="s">
        <v>9</v>
      </c>
      <c r="R6" s="6" t="s">
        <v>10</v>
      </c>
    </row>
    <row r="7" customFormat="false" ht="16.15" hidden="false" customHeight="false" outlineLevel="0" collapsed="false">
      <c r="A7" s="7" t="s">
        <v>11</v>
      </c>
      <c r="B7" s="4" t="str">
        <f aca="false">IFERROR(INDEX(Calendar!$C$2:$C$441,MATCH($B$3,Calendar!$A$2:$A$441,0)),"")</f>
        <v>Yang</v>
      </c>
      <c r="C7" s="7" t="str">
        <f aca="false">"year_yinyang|"&amp;B7</f>
        <v>year_yinyang|Yang</v>
      </c>
      <c r="P7" s="2" t="n">
        <v>1</v>
      </c>
      <c r="Q7" s="8" t="str">
        <f aca="false">INDEX($F$33:$F$48,MATCH(LARGE($G$33:$G$48,1),$G$33:$G$48,0))</f>
        <v>9509</v>
      </c>
      <c r="R7" s="9" t="n">
        <f aca="false">LARGE($G$33:$G$48,1)</f>
        <v>3</v>
      </c>
    </row>
    <row r="8" customFormat="false" ht="16.15" hidden="false" customHeight="false" outlineLevel="0" collapsed="false">
      <c r="A8" s="7" t="s">
        <v>12</v>
      </c>
      <c r="B8" s="4" t="str">
        <f aca="false">IFERROR(INDEX(Calendar!$D$2:$D$441,MATCH($B$3,Calendar!$A$2:$A$441,0)),"")</f>
        <v>True</v>
      </c>
      <c r="C8" s="7" t="str">
        <f aca="false">"venus_combust|"&amp;B8</f>
        <v>venus_combust|True</v>
      </c>
      <c r="P8" s="2" t="n">
        <v>2</v>
      </c>
      <c r="Q8" s="8" t="str">
        <f aca="false">INDEX($F$33:$F$48,MATCH(LARGE($G$33:$G$48,2),$G$33:$G$48,0))</f>
        <v>9507</v>
      </c>
      <c r="R8" s="9" t="n">
        <f aca="false">LARGE($G$33:$G$48,2)</f>
        <v>2.999999998999</v>
      </c>
    </row>
    <row r="9" customFormat="false" ht="16.15" hidden="false" customHeight="false" outlineLevel="0" collapsed="false">
      <c r="A9" s="7" t="s">
        <v>13</v>
      </c>
      <c r="B9" s="4" t="str">
        <f aca="false">IFERROR(INDEX(Calendar!$E$2:$E$441,MATCH($B$3,Calendar!$A$2:$A$441,0)),"")</f>
        <v>False</v>
      </c>
      <c r="C9" s="7" t="str">
        <f aca="false">"jupiter_combust|"&amp;B9</f>
        <v>jupiter_combust|False</v>
      </c>
      <c r="P9" s="2" t="n">
        <v>3</v>
      </c>
      <c r="Q9" s="8" t="str">
        <f aca="false">INDEX($F$33:$F$48,MATCH(LARGE($G$33:$G$48,3),$G$33:$G$48,0))</f>
        <v>9599</v>
      </c>
      <c r="R9" s="9" t="n">
        <f aca="false">LARGE($G$33:$G$48,3)</f>
        <v>1.999999998998</v>
      </c>
    </row>
    <row r="10" customFormat="false" ht="16.15" hidden="false" customHeight="false" outlineLevel="0" collapsed="false">
      <c r="A10" s="7" t="s">
        <v>14</v>
      </c>
      <c r="B10" s="4" t="str">
        <f aca="false">IFERROR(INDEX(Calendar!$F$2:$F$441,MATCH($B$3,Calendar!$A$2:$A$441,0)),"")</f>
        <v>Ashvin</v>
      </c>
      <c r="C10" s="7" t="str">
        <f aca="false">"masa|"&amp;B10</f>
        <v>masa|Ashvin</v>
      </c>
      <c r="P10" s="2" t="n">
        <v>4</v>
      </c>
      <c r="Q10" s="8" t="str">
        <f aca="false">INDEX($F$33:$F$48,MATCH(LARGE($G$33:$G$48,4),$G$33:$G$48,0))</f>
        <v>9909</v>
      </c>
      <c r="R10" s="9" t="n">
        <f aca="false">LARGE($G$33:$G$48,4)</f>
        <v>1.999999998996</v>
      </c>
    </row>
    <row r="11" customFormat="false" ht="16.15" hidden="false" customHeight="false" outlineLevel="0" collapsed="false">
      <c r="A11" s="7" t="s">
        <v>15</v>
      </c>
      <c r="B11" s="4" t="str">
        <f aca="false">IFERROR(INDEX(Calendar!$G$2:$G$441,MATCH($B$3,Calendar!$A$2:$A$441,0)),"")</f>
        <v>Bing</v>
      </c>
      <c r="C11" s="7" t="str">
        <f aca="false">"year_stem|"&amp;B11</f>
        <v>year_stem|Bing</v>
      </c>
      <c r="P11" s="2" t="n">
        <v>5</v>
      </c>
      <c r="Q11" s="8" t="str">
        <f aca="false">INDEX($F$33:$F$48,MATCH(LARGE($G$33:$G$48,5),$G$33:$G$48,0))</f>
        <v>8509</v>
      </c>
      <c r="R11" s="9" t="n">
        <f aca="false">LARGE($G$33:$G$48,5)</f>
        <v>1.999999998992</v>
      </c>
    </row>
    <row r="12" customFormat="false" ht="15" hidden="false" customHeight="false" outlineLevel="0" collapsed="false">
      <c r="A12" s="7" t="s">
        <v>16</v>
      </c>
      <c r="B12" s="4" t="str">
        <f aca="false">IFERROR(INDEX(Calendar!$H$2:$H$441,MATCH($B$3,Calendar!$A$2:$A$441,0)),"")</f>
        <v>9</v>
      </c>
      <c r="C12" s="7" t="str">
        <f aca="false">"lunar_day|"&amp;B12</f>
        <v>lunar_day|9</v>
      </c>
    </row>
    <row r="13" customFormat="false" ht="15" hidden="false" customHeight="false" outlineLevel="0" collapsed="false">
      <c r="P13" s="5" t="s">
        <v>17</v>
      </c>
    </row>
    <row r="14" customFormat="false" ht="15" hidden="false" customHeight="false" outlineLevel="0" collapsed="false">
      <c r="P14" s="5" t="s">
        <v>18</v>
      </c>
    </row>
    <row r="15" customFormat="false" ht="15" hidden="false" customHeight="false" outlineLevel="0" collapsed="false">
      <c r="A15" s="2" t="s">
        <v>19</v>
      </c>
    </row>
    <row r="16" customFormat="false" ht="15" hidden="false" customHeight="false" outlineLevel="0" collapsed="false">
      <c r="D16" s="6" t="s">
        <v>20</v>
      </c>
      <c r="E16" s="6" t="s">
        <v>21</v>
      </c>
      <c r="F16" s="6" t="s">
        <v>22</v>
      </c>
      <c r="G16" s="6" t="s">
        <v>23</v>
      </c>
      <c r="H16" s="6" t="s">
        <v>24</v>
      </c>
      <c r="I16" s="6" t="s">
        <v>25</v>
      </c>
      <c r="J16" s="6" t="s">
        <v>26</v>
      </c>
      <c r="K16" s="6" t="s">
        <v>27</v>
      </c>
      <c r="L16" s="6" t="s">
        <v>28</v>
      </c>
      <c r="M16" s="6" t="s">
        <v>29</v>
      </c>
      <c r="N16" s="6" t="s">
        <v>30</v>
      </c>
      <c r="O16" s="6" t="s">
        <v>31</v>
      </c>
      <c r="P16" s="6" t="s">
        <v>32</v>
      </c>
      <c r="Q16" s="6" t="s">
        <v>33</v>
      </c>
      <c r="R16" s="6" t="s">
        <v>34</v>
      </c>
      <c r="S16" s="6" t="s">
        <v>35</v>
      </c>
      <c r="T16" s="6" t="s">
        <v>36</v>
      </c>
      <c r="U16" s="6" t="s">
        <v>37</v>
      </c>
      <c r="V16" s="6" t="s">
        <v>38</v>
      </c>
      <c r="W16" s="6" t="s">
        <v>39</v>
      </c>
      <c r="X16" s="6" t="s">
        <v>40</v>
      </c>
      <c r="Y16" s="6" t="s">
        <v>41</v>
      </c>
      <c r="Z16" s="6" t="s">
        <v>42</v>
      </c>
      <c r="AA16" s="6" t="s">
        <v>43</v>
      </c>
      <c r="AB16" s="6" t="s">
        <v>44</v>
      </c>
      <c r="AC16" s="6" t="s">
        <v>45</v>
      </c>
      <c r="AD16" s="6" t="s">
        <v>46</v>
      </c>
      <c r="AE16" s="6" t="s">
        <v>47</v>
      </c>
      <c r="AF16" s="6" t="s">
        <v>48</v>
      </c>
      <c r="AG16" s="6" t="s">
        <v>49</v>
      </c>
      <c r="AH16" s="6" t="s">
        <v>50</v>
      </c>
      <c r="AI16" s="6" t="s">
        <v>51</v>
      </c>
      <c r="AJ16" s="6" t="s">
        <v>52</v>
      </c>
      <c r="AK16" s="6" t="s">
        <v>53</v>
      </c>
      <c r="AL16" s="6" t="s">
        <v>54</v>
      </c>
      <c r="AM16" s="6" t="s">
        <v>55</v>
      </c>
      <c r="AN16" s="6" t="s">
        <v>56</v>
      </c>
      <c r="AO16" s="6" t="s">
        <v>57</v>
      </c>
      <c r="AP16" s="6" t="s">
        <v>58</v>
      </c>
      <c r="AQ16" s="6" t="s">
        <v>59</v>
      </c>
    </row>
    <row r="17" customFormat="false" ht="15" hidden="false" customHeight="false" outlineLevel="0" collapsed="false">
      <c r="A17" s="7" t="s">
        <v>11</v>
      </c>
      <c r="D17" s="4" t="n">
        <f aca="false">IFERROR(INDEX(Tables!$D$2:$D$59,MATCH($C$7,Tables!$C$2:$C$59,0)),0)</f>
        <v>0</v>
      </c>
      <c r="E17" s="4" t="n">
        <f aca="false">IFERROR(INDEX(Tables!$E$2:$E$59,MATCH($C$7,Tables!$C$2:$C$59,0)),0)</f>
        <v>0</v>
      </c>
      <c r="F17" s="4" t="n">
        <f aca="false">IFERROR(INDEX(Tables!$F$2:$F$59,MATCH($C$7,Tables!$C$2:$C$59,0)),0)</f>
        <v>0</v>
      </c>
      <c r="G17" s="4" t="n">
        <f aca="false">IFERROR(INDEX(Tables!$G$2:$G$59,MATCH($C$7,Tables!$C$2:$C$59,0)),0)</f>
        <v>0</v>
      </c>
      <c r="H17" s="4" t="n">
        <f aca="false">IFERROR(INDEX(Tables!$H$2:$H$59,MATCH($C$7,Tables!$C$2:$C$59,0)),0)</f>
        <v>0</v>
      </c>
      <c r="I17" s="4" t="n">
        <f aca="false">IFERROR(INDEX(Tables!$I$2:$I$59,MATCH($C$7,Tables!$C$2:$C$59,0)),0)</f>
        <v>0</v>
      </c>
      <c r="J17" s="4" t="n">
        <f aca="false">IFERROR(INDEX(Tables!$J$2:$J$59,MATCH($C$7,Tables!$C$2:$C$59,0)),0)</f>
        <v>0</v>
      </c>
      <c r="K17" s="4" t="n">
        <f aca="false">IFERROR(INDEX(Tables!$K$2:$K$59,MATCH($C$7,Tables!$C$2:$C$59,0)),0)</f>
        <v>0</v>
      </c>
      <c r="L17" s="4" t="n">
        <f aca="false">IFERROR(INDEX(Tables!$L$2:$L$59,MATCH($C$7,Tables!$C$2:$C$59,0)),0)</f>
        <v>0</v>
      </c>
      <c r="M17" s="4" t="n">
        <f aca="false">IFERROR(INDEX(Tables!$M$2:$M$59,MATCH($C$7,Tables!$C$2:$C$59,0)),0)</f>
        <v>0</v>
      </c>
      <c r="N17" s="4" t="n">
        <f aca="false">IFERROR(INDEX(Tables!$N$2:$N$59,MATCH($C$7,Tables!$C$2:$C$59,0)),0)</f>
        <v>0</v>
      </c>
      <c r="O17" s="4" t="n">
        <f aca="false">IFERROR(INDEX(Tables!$O$2:$O$59,MATCH($C$7,Tables!$C$2:$C$59,0)),0)</f>
        <v>0</v>
      </c>
      <c r="P17" s="4" t="n">
        <f aca="false">IFERROR(INDEX(Tables!$P$2:$P$59,MATCH($C$7,Tables!$C$2:$C$59,0)),0)</f>
        <v>0</v>
      </c>
      <c r="Q17" s="4" t="n">
        <f aca="false">IFERROR(INDEX(Tables!$Q$2:$Q$59,MATCH($C$7,Tables!$C$2:$C$59,0)),0)</f>
        <v>0</v>
      </c>
      <c r="R17" s="4" t="n">
        <f aca="false">IFERROR(INDEX(Tables!$R$2:$R$59,MATCH($C$7,Tables!$C$2:$C$59,0)),0)</f>
        <v>0</v>
      </c>
      <c r="S17" s="4" t="n">
        <f aca="false">IFERROR(INDEX(Tables!$S$2:$S$59,MATCH($C$7,Tables!$C$2:$C$59,0)),0)</f>
        <v>0</v>
      </c>
      <c r="T17" s="4" t="n">
        <f aca="false">IFERROR(INDEX(Tables!$T$2:$T$59,MATCH($C$7,Tables!$C$2:$C$59,0)),0)</f>
        <v>0</v>
      </c>
      <c r="U17" s="4" t="n">
        <f aca="false">IFERROR(INDEX(Tables!$U$2:$U$59,MATCH($C$7,Tables!$C$2:$C$59,0)),0)</f>
        <v>0</v>
      </c>
      <c r="V17" s="4" t="n">
        <f aca="false">IFERROR(INDEX(Tables!$V$2:$V$59,MATCH($C$7,Tables!$C$2:$C$59,0)),0)</f>
        <v>0</v>
      </c>
      <c r="W17" s="4" t="n">
        <f aca="false">IFERROR(INDEX(Tables!$W$2:$W$59,MATCH($C$7,Tables!$C$2:$C$59,0)),0)</f>
        <v>0</v>
      </c>
      <c r="X17" s="4" t="n">
        <f aca="false">IFERROR(INDEX(Tables!$X$2:$X$59,MATCH($C$7,Tables!$C$2:$C$59,0)),0)</f>
        <v>0</v>
      </c>
      <c r="Y17" s="4" t="n">
        <f aca="false">IFERROR(INDEX(Tables!$Y$2:$Y$59,MATCH($C$7,Tables!$C$2:$C$59,0)),0)</f>
        <v>0</v>
      </c>
      <c r="Z17" s="4" t="n">
        <f aca="false">IFERROR(INDEX(Tables!$Z$2:$Z$59,MATCH($C$7,Tables!$C$2:$C$59,0)),0)</f>
        <v>0</v>
      </c>
      <c r="AA17" s="4" t="n">
        <f aca="false">IFERROR(INDEX(Tables!$AA$2:$AA$59,MATCH($C$7,Tables!$C$2:$C$59,0)),0)</f>
        <v>0</v>
      </c>
      <c r="AB17" s="4" t="n">
        <f aca="false">IFERROR(INDEX(Tables!$AB$2:$AB$59,MATCH($C$7,Tables!$C$2:$C$59,0)),0)</f>
        <v>0</v>
      </c>
      <c r="AC17" s="4" t="n">
        <f aca="false">IFERROR(INDEX(Tables!$AC$2:$AC$59,MATCH($C$7,Tables!$C$2:$C$59,0)),0)</f>
        <v>0</v>
      </c>
      <c r="AD17" s="4" t="n">
        <f aca="false">IFERROR(INDEX(Tables!$AD$2:$AD$59,MATCH($C$7,Tables!$C$2:$C$59,0)),0)</f>
        <v>0</v>
      </c>
      <c r="AE17" s="4" t="n">
        <f aca="false">IFERROR(INDEX(Tables!$AE$2:$AE$59,MATCH($C$7,Tables!$C$2:$C$59,0)),0)</f>
        <v>0</v>
      </c>
      <c r="AF17" s="4" t="n">
        <f aca="false">IFERROR(INDEX(Tables!$AF$2:$AF$59,MATCH($C$7,Tables!$C$2:$C$59,0)),0)</f>
        <v>0</v>
      </c>
      <c r="AG17" s="4" t="n">
        <f aca="false">IFERROR(INDEX(Tables!$AG$2:$AG$59,MATCH($C$7,Tables!$C$2:$C$59,0)),0)</f>
        <v>0</v>
      </c>
      <c r="AH17" s="4" t="n">
        <f aca="false">IFERROR(INDEX(Tables!$AH$2:$AH$59,MATCH($C$7,Tables!$C$2:$C$59,0)),0)</f>
        <v>0</v>
      </c>
      <c r="AI17" s="4" t="n">
        <f aca="false">IFERROR(INDEX(Tables!$AI$2:$AI$59,MATCH($C$7,Tables!$C$2:$C$59,0)),0)</f>
        <v>0</v>
      </c>
      <c r="AJ17" s="4" t="n">
        <f aca="false">IFERROR(INDEX(Tables!$AJ$2:$AJ$59,MATCH($C$7,Tables!$C$2:$C$59,0)),0)</f>
        <v>0</v>
      </c>
      <c r="AK17" s="4" t="n">
        <f aca="false">IFERROR(INDEX(Tables!$AK$2:$AK$59,MATCH($C$7,Tables!$C$2:$C$59,0)),0)</f>
        <v>0</v>
      </c>
      <c r="AL17" s="4" t="n">
        <f aca="false">IFERROR(INDEX(Tables!$AL$2:$AL$59,MATCH($C$7,Tables!$C$2:$C$59,0)),0)</f>
        <v>0</v>
      </c>
      <c r="AM17" s="4" t="n">
        <f aca="false">IFERROR(INDEX(Tables!$AM$2:$AM$59,MATCH($C$7,Tables!$C$2:$C$59,0)),0)</f>
        <v>0</v>
      </c>
      <c r="AN17" s="4" t="n">
        <f aca="false">IFERROR(INDEX(Tables!$AN$2:$AN$59,MATCH($C$7,Tables!$C$2:$C$59,0)),0)</f>
        <v>0</v>
      </c>
      <c r="AO17" s="4" t="n">
        <f aca="false">IFERROR(INDEX(Tables!$AO$2:$AO$59,MATCH($C$7,Tables!$C$2:$C$59,0)),0)</f>
        <v>0</v>
      </c>
      <c r="AP17" s="4" t="n">
        <f aca="false">IFERROR(INDEX(Tables!$AP$2:$AP$59,MATCH($C$7,Tables!$C$2:$C$59,0)),0)</f>
        <v>0</v>
      </c>
      <c r="AQ17" s="4" t="n">
        <f aca="false">IFERROR(INDEX(Tables!$AQ$2:$AQ$59,MATCH($C$7,Tables!$C$2:$C$59,0)),0)</f>
        <v>0</v>
      </c>
    </row>
    <row r="18" customFormat="false" ht="15" hidden="false" customHeight="false" outlineLevel="0" collapsed="false">
      <c r="A18" s="7" t="s">
        <v>12</v>
      </c>
      <c r="D18" s="4" t="n">
        <f aca="false">IFERROR(INDEX(Tables!$D$2:$D$59,MATCH($C$8,Tables!$C$2:$C$59,0)),0)</f>
        <v>0</v>
      </c>
      <c r="E18" s="4" t="n">
        <f aca="false">IFERROR(INDEX(Tables!$E$2:$E$59,MATCH($C$8,Tables!$C$2:$C$59,0)),0)</f>
        <v>-1</v>
      </c>
      <c r="F18" s="4" t="n">
        <f aca="false">IFERROR(INDEX(Tables!$F$2:$F$59,MATCH($C$8,Tables!$C$2:$C$59,0)),0)</f>
        <v>0</v>
      </c>
      <c r="G18" s="4" t="n">
        <f aca="false">IFERROR(INDEX(Tables!$G$2:$G$59,MATCH($C$8,Tables!$C$2:$C$59,0)),0)</f>
        <v>0</v>
      </c>
      <c r="H18" s="4" t="n">
        <f aca="false">IFERROR(INDEX(Tables!$H$2:$H$59,MATCH($C$8,Tables!$C$2:$C$59,0)),0)</f>
        <v>0</v>
      </c>
      <c r="I18" s="4" t="n">
        <f aca="false">IFERROR(INDEX(Tables!$I$2:$I$59,MATCH($C$8,Tables!$C$2:$C$59,0)),0)</f>
        <v>0</v>
      </c>
      <c r="J18" s="4" t="n">
        <f aca="false">IFERROR(INDEX(Tables!$J$2:$J$59,MATCH($C$8,Tables!$C$2:$C$59,0)),0)</f>
        <v>0</v>
      </c>
      <c r="K18" s="4" t="n">
        <f aca="false">IFERROR(INDEX(Tables!$K$2:$K$59,MATCH($C$8,Tables!$C$2:$C$59,0)),0)</f>
        <v>0</v>
      </c>
      <c r="L18" s="4" t="n">
        <f aca="false">IFERROR(INDEX(Tables!$L$2:$L$59,MATCH($C$8,Tables!$C$2:$C$59,0)),0)</f>
        <v>0</v>
      </c>
      <c r="M18" s="4" t="n">
        <f aca="false">IFERROR(INDEX(Tables!$M$2:$M$59,MATCH($C$8,Tables!$C$2:$C$59,0)),0)</f>
        <v>1</v>
      </c>
      <c r="N18" s="4" t="n">
        <f aca="false">IFERROR(INDEX(Tables!$N$2:$N$59,MATCH($C$8,Tables!$C$2:$C$59,0)),0)</f>
        <v>0</v>
      </c>
      <c r="O18" s="4" t="n">
        <f aca="false">IFERROR(INDEX(Tables!$O$2:$O$59,MATCH($C$8,Tables!$C$2:$C$59,0)),0)</f>
        <v>0</v>
      </c>
      <c r="P18" s="4" t="n">
        <f aca="false">IFERROR(INDEX(Tables!$P$2:$P$59,MATCH($C$8,Tables!$C$2:$C$59,0)),0)</f>
        <v>0</v>
      </c>
      <c r="Q18" s="4" t="n">
        <f aca="false">IFERROR(INDEX(Tables!$Q$2:$Q$59,MATCH($C$8,Tables!$C$2:$C$59,0)),0)</f>
        <v>0</v>
      </c>
      <c r="R18" s="4" t="n">
        <f aca="false">IFERROR(INDEX(Tables!$R$2:$R$59,MATCH($C$8,Tables!$C$2:$C$59,0)),0)</f>
        <v>0</v>
      </c>
      <c r="S18" s="4" t="n">
        <f aca="false">IFERROR(INDEX(Tables!$S$2:$S$59,MATCH($C$8,Tables!$C$2:$C$59,0)),0)</f>
        <v>1</v>
      </c>
      <c r="T18" s="4" t="n">
        <f aca="false">IFERROR(INDEX(Tables!$T$2:$T$59,MATCH($C$8,Tables!$C$2:$C$59,0)),0)</f>
        <v>0</v>
      </c>
      <c r="U18" s="4" t="n">
        <f aca="false">IFERROR(INDEX(Tables!$U$2:$U$59,MATCH($C$8,Tables!$C$2:$C$59,0)),0)</f>
        <v>0</v>
      </c>
      <c r="V18" s="4" t="n">
        <f aca="false">IFERROR(INDEX(Tables!$V$2:$V$59,MATCH($C$8,Tables!$C$2:$C$59,0)),0)</f>
        <v>0</v>
      </c>
      <c r="W18" s="4" t="n">
        <f aca="false">IFERROR(INDEX(Tables!$W$2:$W$59,MATCH($C$8,Tables!$C$2:$C$59,0)),0)</f>
        <v>0</v>
      </c>
      <c r="X18" s="4" t="n">
        <f aca="false">IFERROR(INDEX(Tables!$X$2:$X$59,MATCH($C$8,Tables!$C$2:$C$59,0)),0)</f>
        <v>1</v>
      </c>
      <c r="Y18" s="4" t="n">
        <f aca="false">IFERROR(INDEX(Tables!$Y$2:$Y$59,MATCH($C$8,Tables!$C$2:$C$59,0)),0)</f>
        <v>0</v>
      </c>
      <c r="Z18" s="4" t="n">
        <f aca="false">IFERROR(INDEX(Tables!$Z$2:$Z$59,MATCH($C$8,Tables!$C$2:$C$59,0)),0)</f>
        <v>0</v>
      </c>
      <c r="AA18" s="4" t="n">
        <f aca="false">IFERROR(INDEX(Tables!$AA$2:$AA$59,MATCH($C$8,Tables!$C$2:$C$59,0)),0)</f>
        <v>0</v>
      </c>
      <c r="AB18" s="4" t="n">
        <f aca="false">IFERROR(INDEX(Tables!$AB$2:$AB$59,MATCH($C$8,Tables!$C$2:$C$59,0)),0)</f>
        <v>0</v>
      </c>
      <c r="AC18" s="4" t="n">
        <f aca="false">IFERROR(INDEX(Tables!$AC$2:$AC$59,MATCH($C$8,Tables!$C$2:$C$59,0)),0)</f>
        <v>0</v>
      </c>
      <c r="AD18" s="4" t="n">
        <f aca="false">IFERROR(INDEX(Tables!$AD$2:$AD$59,MATCH($C$8,Tables!$C$2:$C$59,0)),0)</f>
        <v>0</v>
      </c>
      <c r="AE18" s="4" t="n">
        <f aca="false">IFERROR(INDEX(Tables!$AE$2:$AE$59,MATCH($C$8,Tables!$C$2:$C$59,0)),0)</f>
        <v>0</v>
      </c>
      <c r="AF18" s="4" t="n">
        <f aca="false">IFERROR(INDEX(Tables!$AF$2:$AF$59,MATCH($C$8,Tables!$C$2:$C$59,0)),0)</f>
        <v>0</v>
      </c>
      <c r="AG18" s="4" t="n">
        <f aca="false">IFERROR(INDEX(Tables!$AG$2:$AG$59,MATCH($C$8,Tables!$C$2:$C$59,0)),0)</f>
        <v>0</v>
      </c>
      <c r="AH18" s="4" t="n">
        <f aca="false">IFERROR(INDEX(Tables!$AH$2:$AH$59,MATCH($C$8,Tables!$C$2:$C$59,0)),0)</f>
        <v>0</v>
      </c>
      <c r="AI18" s="4" t="n">
        <f aca="false">IFERROR(INDEX(Tables!$AI$2:$AI$59,MATCH($C$8,Tables!$C$2:$C$59,0)),0)</f>
        <v>0</v>
      </c>
      <c r="AJ18" s="4" t="n">
        <f aca="false">IFERROR(INDEX(Tables!$AJ$2:$AJ$59,MATCH($C$8,Tables!$C$2:$C$59,0)),0)</f>
        <v>0</v>
      </c>
      <c r="AK18" s="4" t="n">
        <f aca="false">IFERROR(INDEX(Tables!$AK$2:$AK$59,MATCH($C$8,Tables!$C$2:$C$59,0)),0)</f>
        <v>0</v>
      </c>
      <c r="AL18" s="4" t="n">
        <f aca="false">IFERROR(INDEX(Tables!$AL$2:$AL$59,MATCH($C$8,Tables!$C$2:$C$59,0)),0)</f>
        <v>0</v>
      </c>
      <c r="AM18" s="4" t="n">
        <f aca="false">IFERROR(INDEX(Tables!$AM$2:$AM$59,MATCH($C$8,Tables!$C$2:$C$59,0)),0)</f>
        <v>0</v>
      </c>
      <c r="AN18" s="4" t="n">
        <f aca="false">IFERROR(INDEX(Tables!$AN$2:$AN$59,MATCH($C$8,Tables!$C$2:$C$59,0)),0)</f>
        <v>0</v>
      </c>
      <c r="AO18" s="4" t="n">
        <f aca="false">IFERROR(INDEX(Tables!$AO$2:$AO$59,MATCH($C$8,Tables!$C$2:$C$59,0)),0)</f>
        <v>0</v>
      </c>
      <c r="AP18" s="4" t="n">
        <f aca="false">IFERROR(INDEX(Tables!$AP$2:$AP$59,MATCH($C$8,Tables!$C$2:$C$59,0)),0)</f>
        <v>-1</v>
      </c>
      <c r="AQ18" s="4" t="n">
        <f aca="false">IFERROR(INDEX(Tables!$AQ$2:$AQ$59,MATCH($C$8,Tables!$C$2:$C$59,0)),0)</f>
        <v>0</v>
      </c>
    </row>
    <row r="19" customFormat="false" ht="15" hidden="false" customHeight="false" outlineLevel="0" collapsed="false">
      <c r="A19" s="7" t="s">
        <v>13</v>
      </c>
      <c r="D19" s="4" t="n">
        <f aca="false">IFERROR(INDEX(Tables!$D$2:$D$59,MATCH($C$9,Tables!$C$2:$C$59,0)),0)</f>
        <v>0</v>
      </c>
      <c r="E19" s="4" t="n">
        <f aca="false">IFERROR(INDEX(Tables!$E$2:$E$59,MATCH($C$9,Tables!$C$2:$C$59,0)),0)</f>
        <v>0</v>
      </c>
      <c r="F19" s="4" t="n">
        <f aca="false">IFERROR(INDEX(Tables!$F$2:$F$59,MATCH($C$9,Tables!$C$2:$C$59,0)),0)</f>
        <v>0</v>
      </c>
      <c r="G19" s="4" t="n">
        <f aca="false">IFERROR(INDEX(Tables!$G$2:$G$59,MATCH($C$9,Tables!$C$2:$C$59,0)),0)</f>
        <v>0</v>
      </c>
      <c r="H19" s="4" t="n">
        <f aca="false">IFERROR(INDEX(Tables!$H$2:$H$59,MATCH($C$9,Tables!$C$2:$C$59,0)),0)</f>
        <v>0</v>
      </c>
      <c r="I19" s="4" t="n">
        <f aca="false">IFERROR(INDEX(Tables!$I$2:$I$59,MATCH($C$9,Tables!$C$2:$C$59,0)),0)</f>
        <v>0</v>
      </c>
      <c r="J19" s="4" t="n">
        <f aca="false">IFERROR(INDEX(Tables!$J$2:$J$59,MATCH($C$9,Tables!$C$2:$C$59,0)),0)</f>
        <v>0</v>
      </c>
      <c r="K19" s="4" t="n">
        <f aca="false">IFERROR(INDEX(Tables!$K$2:$K$59,MATCH($C$9,Tables!$C$2:$C$59,0)),0)</f>
        <v>0</v>
      </c>
      <c r="L19" s="4" t="n">
        <f aca="false">IFERROR(INDEX(Tables!$L$2:$L$59,MATCH($C$9,Tables!$C$2:$C$59,0)),0)</f>
        <v>0</v>
      </c>
      <c r="M19" s="4" t="n">
        <f aca="false">IFERROR(INDEX(Tables!$M$2:$M$59,MATCH($C$9,Tables!$C$2:$C$59,0)),0)</f>
        <v>0</v>
      </c>
      <c r="N19" s="4" t="n">
        <f aca="false">IFERROR(INDEX(Tables!$N$2:$N$59,MATCH($C$9,Tables!$C$2:$C$59,0)),0)</f>
        <v>0</v>
      </c>
      <c r="O19" s="4" t="n">
        <f aca="false">IFERROR(INDEX(Tables!$O$2:$O$59,MATCH($C$9,Tables!$C$2:$C$59,0)),0)</f>
        <v>0</v>
      </c>
      <c r="P19" s="4" t="n">
        <f aca="false">IFERROR(INDEX(Tables!$P$2:$P$59,MATCH($C$9,Tables!$C$2:$C$59,0)),0)</f>
        <v>0</v>
      </c>
      <c r="Q19" s="4" t="n">
        <f aca="false">IFERROR(INDEX(Tables!$Q$2:$Q$59,MATCH($C$9,Tables!$C$2:$C$59,0)),0)</f>
        <v>0</v>
      </c>
      <c r="R19" s="4" t="n">
        <f aca="false">IFERROR(INDEX(Tables!$R$2:$R$59,MATCH($C$9,Tables!$C$2:$C$59,0)),0)</f>
        <v>0</v>
      </c>
      <c r="S19" s="4" t="n">
        <f aca="false">IFERROR(INDEX(Tables!$S$2:$S$59,MATCH($C$9,Tables!$C$2:$C$59,0)),0)</f>
        <v>0</v>
      </c>
      <c r="T19" s="4" t="n">
        <f aca="false">IFERROR(INDEX(Tables!$T$2:$T$59,MATCH($C$9,Tables!$C$2:$C$59,0)),0)</f>
        <v>0</v>
      </c>
      <c r="U19" s="4" t="n">
        <f aca="false">IFERROR(INDEX(Tables!$U$2:$U$59,MATCH($C$9,Tables!$C$2:$C$59,0)),0)</f>
        <v>0</v>
      </c>
      <c r="V19" s="4" t="n">
        <f aca="false">IFERROR(INDEX(Tables!$V$2:$V$59,MATCH($C$9,Tables!$C$2:$C$59,0)),0)</f>
        <v>0</v>
      </c>
      <c r="W19" s="4" t="n">
        <f aca="false">IFERROR(INDEX(Tables!$W$2:$W$59,MATCH($C$9,Tables!$C$2:$C$59,0)),0)</f>
        <v>0</v>
      </c>
      <c r="X19" s="4" t="n">
        <f aca="false">IFERROR(INDEX(Tables!$X$2:$X$59,MATCH($C$9,Tables!$C$2:$C$59,0)),0)</f>
        <v>0</v>
      </c>
      <c r="Y19" s="4" t="n">
        <f aca="false">IFERROR(INDEX(Tables!$Y$2:$Y$59,MATCH($C$9,Tables!$C$2:$C$59,0)),0)</f>
        <v>0</v>
      </c>
      <c r="Z19" s="4" t="n">
        <f aca="false">IFERROR(INDEX(Tables!$Z$2:$Z$59,MATCH($C$9,Tables!$C$2:$C$59,0)),0)</f>
        <v>0</v>
      </c>
      <c r="AA19" s="4" t="n">
        <f aca="false">IFERROR(INDEX(Tables!$AA$2:$AA$59,MATCH($C$9,Tables!$C$2:$C$59,0)),0)</f>
        <v>0</v>
      </c>
      <c r="AB19" s="4" t="n">
        <f aca="false">IFERROR(INDEX(Tables!$AB$2:$AB$59,MATCH($C$9,Tables!$C$2:$C$59,0)),0)</f>
        <v>0</v>
      </c>
      <c r="AC19" s="4" t="n">
        <f aca="false">IFERROR(INDEX(Tables!$AC$2:$AC$59,MATCH($C$9,Tables!$C$2:$C$59,0)),0)</f>
        <v>0</v>
      </c>
      <c r="AD19" s="4" t="n">
        <f aca="false">IFERROR(INDEX(Tables!$AD$2:$AD$59,MATCH($C$9,Tables!$C$2:$C$59,0)),0)</f>
        <v>0</v>
      </c>
      <c r="AE19" s="4" t="n">
        <f aca="false">IFERROR(INDEX(Tables!$AE$2:$AE$59,MATCH($C$9,Tables!$C$2:$C$59,0)),0)</f>
        <v>0</v>
      </c>
      <c r="AF19" s="4" t="n">
        <f aca="false">IFERROR(INDEX(Tables!$AF$2:$AF$59,MATCH($C$9,Tables!$C$2:$C$59,0)),0)</f>
        <v>0</v>
      </c>
      <c r="AG19" s="4" t="n">
        <f aca="false">IFERROR(INDEX(Tables!$AG$2:$AG$59,MATCH($C$9,Tables!$C$2:$C$59,0)),0)</f>
        <v>0</v>
      </c>
      <c r="AH19" s="4" t="n">
        <f aca="false">IFERROR(INDEX(Tables!$AH$2:$AH$59,MATCH($C$9,Tables!$C$2:$C$59,0)),0)</f>
        <v>0</v>
      </c>
      <c r="AI19" s="4" t="n">
        <f aca="false">IFERROR(INDEX(Tables!$AI$2:$AI$59,MATCH($C$9,Tables!$C$2:$C$59,0)),0)</f>
        <v>0</v>
      </c>
      <c r="AJ19" s="4" t="n">
        <f aca="false">IFERROR(INDEX(Tables!$AJ$2:$AJ$59,MATCH($C$9,Tables!$C$2:$C$59,0)),0)</f>
        <v>0</v>
      </c>
      <c r="AK19" s="4" t="n">
        <f aca="false">IFERROR(INDEX(Tables!$AK$2:$AK$59,MATCH($C$9,Tables!$C$2:$C$59,0)),0)</f>
        <v>0</v>
      </c>
      <c r="AL19" s="4" t="n">
        <f aca="false">IFERROR(INDEX(Tables!$AL$2:$AL$59,MATCH($C$9,Tables!$C$2:$C$59,0)),0)</f>
        <v>0</v>
      </c>
      <c r="AM19" s="4" t="n">
        <f aca="false">IFERROR(INDEX(Tables!$AM$2:$AM$59,MATCH($C$9,Tables!$C$2:$C$59,0)),0)</f>
        <v>0</v>
      </c>
      <c r="AN19" s="4" t="n">
        <f aca="false">IFERROR(INDEX(Tables!$AN$2:$AN$59,MATCH($C$9,Tables!$C$2:$C$59,0)),0)</f>
        <v>0</v>
      </c>
      <c r="AO19" s="4" t="n">
        <f aca="false">IFERROR(INDEX(Tables!$AO$2:$AO$59,MATCH($C$9,Tables!$C$2:$C$59,0)),0)</f>
        <v>0</v>
      </c>
      <c r="AP19" s="4" t="n">
        <f aca="false">IFERROR(INDEX(Tables!$AP$2:$AP$59,MATCH($C$9,Tables!$C$2:$C$59,0)),0)</f>
        <v>0</v>
      </c>
      <c r="AQ19" s="4" t="n">
        <f aca="false">IFERROR(INDEX(Tables!$AQ$2:$AQ$59,MATCH($C$9,Tables!$C$2:$C$59,0)),0)</f>
        <v>0</v>
      </c>
    </row>
    <row r="20" customFormat="false" ht="15" hidden="false" customHeight="false" outlineLevel="0" collapsed="false">
      <c r="A20" s="7" t="s">
        <v>14</v>
      </c>
      <c r="D20" s="4" t="n">
        <f aca="false">IFERROR(INDEX(Tables!$D$2:$D$59,MATCH($C$10,Tables!$C$2:$C$59,0)),0)</f>
        <v>0</v>
      </c>
      <c r="E20" s="4" t="n">
        <f aca="false">IFERROR(INDEX(Tables!$E$2:$E$59,MATCH($C$10,Tables!$C$2:$C$59,0)),0)</f>
        <v>0</v>
      </c>
      <c r="F20" s="4" t="n">
        <f aca="false">IFERROR(INDEX(Tables!$F$2:$F$59,MATCH($C$10,Tables!$C$2:$C$59,0)),0)</f>
        <v>0</v>
      </c>
      <c r="G20" s="4" t="n">
        <f aca="false">IFERROR(INDEX(Tables!$G$2:$G$59,MATCH($C$10,Tables!$C$2:$C$59,0)),0)</f>
        <v>0</v>
      </c>
      <c r="H20" s="4" t="n">
        <f aca="false">IFERROR(INDEX(Tables!$H$2:$H$59,MATCH($C$10,Tables!$C$2:$C$59,0)),0)</f>
        <v>0</v>
      </c>
      <c r="I20" s="4" t="n">
        <f aca="false">IFERROR(INDEX(Tables!$I$2:$I$59,MATCH($C$10,Tables!$C$2:$C$59,0)),0)</f>
        <v>0</v>
      </c>
      <c r="J20" s="4" t="n">
        <f aca="false">IFERROR(INDEX(Tables!$J$2:$J$59,MATCH($C$10,Tables!$C$2:$C$59,0)),0)</f>
        <v>0</v>
      </c>
      <c r="K20" s="4" t="n">
        <f aca="false">IFERROR(INDEX(Tables!$K$2:$K$59,MATCH($C$10,Tables!$C$2:$C$59,0)),0)</f>
        <v>0</v>
      </c>
      <c r="L20" s="4" t="n">
        <f aca="false">IFERROR(INDEX(Tables!$L$2:$L$59,MATCH($C$10,Tables!$C$2:$C$59,0)),0)</f>
        <v>0</v>
      </c>
      <c r="M20" s="4" t="n">
        <f aca="false">IFERROR(INDEX(Tables!$M$2:$M$59,MATCH($C$10,Tables!$C$2:$C$59,0)),0)</f>
        <v>0</v>
      </c>
      <c r="N20" s="4" t="n">
        <f aca="false">IFERROR(INDEX(Tables!$N$2:$N$59,MATCH($C$10,Tables!$C$2:$C$59,0)),0)</f>
        <v>0</v>
      </c>
      <c r="O20" s="4" t="n">
        <f aca="false">IFERROR(INDEX(Tables!$O$2:$O$59,MATCH($C$10,Tables!$C$2:$C$59,0)),0)</f>
        <v>0</v>
      </c>
      <c r="P20" s="4" t="n">
        <f aca="false">IFERROR(INDEX(Tables!$P$2:$P$59,MATCH($C$10,Tables!$C$2:$C$59,0)),0)</f>
        <v>0</v>
      </c>
      <c r="Q20" s="4" t="n">
        <f aca="false">IFERROR(INDEX(Tables!$Q$2:$Q$59,MATCH($C$10,Tables!$C$2:$C$59,0)),0)</f>
        <v>0</v>
      </c>
      <c r="R20" s="4" t="n">
        <f aca="false">IFERROR(INDEX(Tables!$R$2:$R$59,MATCH($C$10,Tables!$C$2:$C$59,0)),0)</f>
        <v>0</v>
      </c>
      <c r="S20" s="4" t="n">
        <f aca="false">IFERROR(INDEX(Tables!$S$2:$S$59,MATCH($C$10,Tables!$C$2:$C$59,0)),0)</f>
        <v>0</v>
      </c>
      <c r="T20" s="4" t="n">
        <f aca="false">IFERROR(INDEX(Tables!$T$2:$T$59,MATCH($C$10,Tables!$C$2:$C$59,0)),0)</f>
        <v>0</v>
      </c>
      <c r="U20" s="4" t="n">
        <f aca="false">IFERROR(INDEX(Tables!$U$2:$U$59,MATCH($C$10,Tables!$C$2:$C$59,0)),0)</f>
        <v>0</v>
      </c>
      <c r="V20" s="4" t="n">
        <f aca="false">IFERROR(INDEX(Tables!$V$2:$V$59,MATCH($C$10,Tables!$C$2:$C$59,0)),0)</f>
        <v>0</v>
      </c>
      <c r="W20" s="4" t="n">
        <f aca="false">IFERROR(INDEX(Tables!$W$2:$W$59,MATCH($C$10,Tables!$C$2:$C$59,0)),0)</f>
        <v>0</v>
      </c>
      <c r="X20" s="4" t="n">
        <f aca="false">IFERROR(INDEX(Tables!$X$2:$X$59,MATCH($C$10,Tables!$C$2:$C$59,0)),0)</f>
        <v>0</v>
      </c>
      <c r="Y20" s="4" t="n">
        <f aca="false">IFERROR(INDEX(Tables!$Y$2:$Y$59,MATCH($C$10,Tables!$C$2:$C$59,0)),0)</f>
        <v>0</v>
      </c>
      <c r="Z20" s="4" t="n">
        <f aca="false">IFERROR(INDEX(Tables!$Z$2:$Z$59,MATCH($C$10,Tables!$C$2:$C$59,0)),0)</f>
        <v>0</v>
      </c>
      <c r="AA20" s="4" t="n">
        <f aca="false">IFERROR(INDEX(Tables!$AA$2:$AA$59,MATCH($C$10,Tables!$C$2:$C$59,0)),0)</f>
        <v>0</v>
      </c>
      <c r="AB20" s="4" t="n">
        <f aca="false">IFERROR(INDEX(Tables!$AB$2:$AB$59,MATCH($C$10,Tables!$C$2:$C$59,0)),0)</f>
        <v>0</v>
      </c>
      <c r="AC20" s="4" t="n">
        <f aca="false">IFERROR(INDEX(Tables!$AC$2:$AC$59,MATCH($C$10,Tables!$C$2:$C$59,0)),0)</f>
        <v>0</v>
      </c>
      <c r="AD20" s="4" t="n">
        <f aca="false">IFERROR(INDEX(Tables!$AD$2:$AD$59,MATCH($C$10,Tables!$C$2:$C$59,0)),0)</f>
        <v>0</v>
      </c>
      <c r="AE20" s="4" t="n">
        <f aca="false">IFERROR(INDEX(Tables!$AE$2:$AE$59,MATCH($C$10,Tables!$C$2:$C$59,0)),0)</f>
        <v>0</v>
      </c>
      <c r="AF20" s="4" t="n">
        <f aca="false">IFERROR(INDEX(Tables!$AF$2:$AF$59,MATCH($C$10,Tables!$C$2:$C$59,0)),0)</f>
        <v>0</v>
      </c>
      <c r="AG20" s="4" t="n">
        <f aca="false">IFERROR(INDEX(Tables!$AG$2:$AG$59,MATCH($C$10,Tables!$C$2:$C$59,0)),0)</f>
        <v>0</v>
      </c>
      <c r="AH20" s="4" t="n">
        <f aca="false">IFERROR(INDEX(Tables!$AH$2:$AH$59,MATCH($C$10,Tables!$C$2:$C$59,0)),0)</f>
        <v>0</v>
      </c>
      <c r="AI20" s="4" t="n">
        <f aca="false">IFERROR(INDEX(Tables!$AI$2:$AI$59,MATCH($C$10,Tables!$C$2:$C$59,0)),0)</f>
        <v>0</v>
      </c>
      <c r="AJ20" s="4" t="n">
        <f aca="false">IFERROR(INDEX(Tables!$AJ$2:$AJ$59,MATCH($C$10,Tables!$C$2:$C$59,0)),0)</f>
        <v>0</v>
      </c>
      <c r="AK20" s="4" t="n">
        <f aca="false">IFERROR(INDEX(Tables!$AK$2:$AK$59,MATCH($C$10,Tables!$C$2:$C$59,0)),0)</f>
        <v>0</v>
      </c>
      <c r="AL20" s="4" t="n">
        <f aca="false">IFERROR(INDEX(Tables!$AL$2:$AL$59,MATCH($C$10,Tables!$C$2:$C$59,0)),0)</f>
        <v>0</v>
      </c>
      <c r="AM20" s="4" t="n">
        <f aca="false">IFERROR(INDEX(Tables!$AM$2:$AM$59,MATCH($C$10,Tables!$C$2:$C$59,0)),0)</f>
        <v>0</v>
      </c>
      <c r="AN20" s="4" t="n">
        <f aca="false">IFERROR(INDEX(Tables!$AN$2:$AN$59,MATCH($C$10,Tables!$C$2:$C$59,0)),0)</f>
        <v>0</v>
      </c>
      <c r="AO20" s="4" t="n">
        <f aca="false">IFERROR(INDEX(Tables!$AO$2:$AO$59,MATCH($C$10,Tables!$C$2:$C$59,0)),0)</f>
        <v>0</v>
      </c>
      <c r="AP20" s="4" t="n">
        <f aca="false">IFERROR(INDEX(Tables!$AP$2:$AP$59,MATCH($C$10,Tables!$C$2:$C$59,0)),0)</f>
        <v>0</v>
      </c>
      <c r="AQ20" s="4" t="n">
        <f aca="false">IFERROR(INDEX(Tables!$AQ$2:$AQ$59,MATCH($C$10,Tables!$C$2:$C$59,0)),0)</f>
        <v>0</v>
      </c>
    </row>
    <row r="21" customFormat="false" ht="15" hidden="false" customHeight="false" outlineLevel="0" collapsed="false">
      <c r="A21" s="7" t="s">
        <v>15</v>
      </c>
      <c r="D21" s="4" t="n">
        <f aca="false">IFERROR(INDEX(Tables!$D$2:$D$59,MATCH($C$11,Tables!$C$2:$C$59,0)),0)</f>
        <v>0</v>
      </c>
      <c r="E21" s="4" t="n">
        <f aca="false">IFERROR(INDEX(Tables!$E$2:$E$59,MATCH($C$11,Tables!$C$2:$C$59,0)),0)</f>
        <v>0</v>
      </c>
      <c r="F21" s="4" t="n">
        <f aca="false">IFERROR(INDEX(Tables!$F$2:$F$59,MATCH($C$11,Tables!$C$2:$C$59,0)),0)</f>
        <v>0</v>
      </c>
      <c r="G21" s="4" t="n">
        <f aca="false">IFERROR(INDEX(Tables!$G$2:$G$59,MATCH($C$11,Tables!$C$2:$C$59,0)),0)</f>
        <v>0</v>
      </c>
      <c r="H21" s="4" t="n">
        <f aca="false">IFERROR(INDEX(Tables!$H$2:$H$59,MATCH($C$11,Tables!$C$2:$C$59,0)),0)</f>
        <v>0</v>
      </c>
      <c r="I21" s="4" t="n">
        <f aca="false">IFERROR(INDEX(Tables!$I$2:$I$59,MATCH($C$11,Tables!$C$2:$C$59,0)),0)</f>
        <v>0</v>
      </c>
      <c r="J21" s="4" t="n">
        <f aca="false">IFERROR(INDEX(Tables!$J$2:$J$59,MATCH($C$11,Tables!$C$2:$C$59,0)),0)</f>
        <v>0</v>
      </c>
      <c r="K21" s="4" t="n">
        <f aca="false">IFERROR(INDEX(Tables!$K$2:$K$59,MATCH($C$11,Tables!$C$2:$C$59,0)),0)</f>
        <v>0</v>
      </c>
      <c r="L21" s="4" t="n">
        <f aca="false">IFERROR(INDEX(Tables!$L$2:$L$59,MATCH($C$11,Tables!$C$2:$C$59,0)),0)</f>
        <v>0</v>
      </c>
      <c r="M21" s="4" t="n">
        <f aca="false">IFERROR(INDEX(Tables!$M$2:$M$59,MATCH($C$11,Tables!$C$2:$C$59,0)),0)</f>
        <v>0</v>
      </c>
      <c r="N21" s="4" t="n">
        <f aca="false">IFERROR(INDEX(Tables!$N$2:$N$59,MATCH($C$11,Tables!$C$2:$C$59,0)),0)</f>
        <v>0</v>
      </c>
      <c r="O21" s="4" t="n">
        <f aca="false">IFERROR(INDEX(Tables!$O$2:$O$59,MATCH($C$11,Tables!$C$2:$C$59,0)),0)</f>
        <v>0</v>
      </c>
      <c r="P21" s="4" t="n">
        <f aca="false">IFERROR(INDEX(Tables!$P$2:$P$59,MATCH($C$11,Tables!$C$2:$C$59,0)),0)</f>
        <v>0</v>
      </c>
      <c r="Q21" s="4" t="n">
        <f aca="false">IFERROR(INDEX(Tables!$Q$2:$Q$59,MATCH($C$11,Tables!$C$2:$C$59,0)),0)</f>
        <v>0</v>
      </c>
      <c r="R21" s="4" t="n">
        <f aca="false">IFERROR(INDEX(Tables!$R$2:$R$59,MATCH($C$11,Tables!$C$2:$C$59,0)),0)</f>
        <v>0</v>
      </c>
      <c r="S21" s="4" t="n">
        <f aca="false">IFERROR(INDEX(Tables!$S$2:$S$59,MATCH($C$11,Tables!$C$2:$C$59,0)),0)</f>
        <v>0</v>
      </c>
      <c r="T21" s="4" t="n">
        <f aca="false">IFERROR(INDEX(Tables!$T$2:$T$59,MATCH($C$11,Tables!$C$2:$C$59,0)),0)</f>
        <v>0</v>
      </c>
      <c r="U21" s="4" t="n">
        <f aca="false">IFERROR(INDEX(Tables!$U$2:$U$59,MATCH($C$11,Tables!$C$2:$C$59,0)),0)</f>
        <v>0</v>
      </c>
      <c r="V21" s="4" t="n">
        <f aca="false">IFERROR(INDEX(Tables!$V$2:$V$59,MATCH($C$11,Tables!$C$2:$C$59,0)),0)</f>
        <v>0</v>
      </c>
      <c r="W21" s="4" t="n">
        <f aca="false">IFERROR(INDEX(Tables!$W$2:$W$59,MATCH($C$11,Tables!$C$2:$C$59,0)),0)</f>
        <v>0</v>
      </c>
      <c r="X21" s="4" t="n">
        <f aca="false">IFERROR(INDEX(Tables!$X$2:$X$59,MATCH($C$11,Tables!$C$2:$C$59,0)),0)</f>
        <v>0</v>
      </c>
      <c r="Y21" s="4" t="n">
        <f aca="false">IFERROR(INDEX(Tables!$Y$2:$Y$59,MATCH($C$11,Tables!$C$2:$C$59,0)),0)</f>
        <v>0</v>
      </c>
      <c r="Z21" s="4" t="n">
        <f aca="false">IFERROR(INDEX(Tables!$Z$2:$Z$59,MATCH($C$11,Tables!$C$2:$C$59,0)),0)</f>
        <v>0</v>
      </c>
      <c r="AA21" s="4" t="n">
        <f aca="false">IFERROR(INDEX(Tables!$AA$2:$AA$59,MATCH($C$11,Tables!$C$2:$C$59,0)),0)</f>
        <v>0</v>
      </c>
      <c r="AB21" s="4" t="n">
        <f aca="false">IFERROR(INDEX(Tables!$AB$2:$AB$59,MATCH($C$11,Tables!$C$2:$C$59,0)),0)</f>
        <v>0</v>
      </c>
      <c r="AC21" s="4" t="n">
        <f aca="false">IFERROR(INDEX(Tables!$AC$2:$AC$59,MATCH($C$11,Tables!$C$2:$C$59,0)),0)</f>
        <v>0</v>
      </c>
      <c r="AD21" s="4" t="n">
        <f aca="false">IFERROR(INDEX(Tables!$AD$2:$AD$59,MATCH($C$11,Tables!$C$2:$C$59,0)),0)</f>
        <v>0</v>
      </c>
      <c r="AE21" s="4" t="n">
        <f aca="false">IFERROR(INDEX(Tables!$AE$2:$AE$59,MATCH($C$11,Tables!$C$2:$C$59,0)),0)</f>
        <v>0</v>
      </c>
      <c r="AF21" s="4" t="n">
        <f aca="false">IFERROR(INDEX(Tables!$AF$2:$AF$59,MATCH($C$11,Tables!$C$2:$C$59,0)),0)</f>
        <v>0</v>
      </c>
      <c r="AG21" s="4" t="n">
        <f aca="false">IFERROR(INDEX(Tables!$AG$2:$AG$59,MATCH($C$11,Tables!$C$2:$C$59,0)),0)</f>
        <v>0</v>
      </c>
      <c r="AH21" s="4" t="n">
        <f aca="false">IFERROR(INDEX(Tables!$AH$2:$AH$59,MATCH($C$11,Tables!$C$2:$C$59,0)),0)</f>
        <v>0</v>
      </c>
      <c r="AI21" s="4" t="n">
        <f aca="false">IFERROR(INDEX(Tables!$AI$2:$AI$59,MATCH($C$11,Tables!$C$2:$C$59,0)),0)</f>
        <v>0</v>
      </c>
      <c r="AJ21" s="4" t="n">
        <f aca="false">IFERROR(INDEX(Tables!$AJ$2:$AJ$59,MATCH($C$11,Tables!$C$2:$C$59,0)),0)</f>
        <v>0</v>
      </c>
      <c r="AK21" s="4" t="n">
        <f aca="false">IFERROR(INDEX(Tables!$AK$2:$AK$59,MATCH($C$11,Tables!$C$2:$C$59,0)),0)</f>
        <v>0</v>
      </c>
      <c r="AL21" s="4" t="n">
        <f aca="false">IFERROR(INDEX(Tables!$AL$2:$AL$59,MATCH($C$11,Tables!$C$2:$C$59,0)),0)</f>
        <v>0</v>
      </c>
      <c r="AM21" s="4" t="n">
        <f aca="false">IFERROR(INDEX(Tables!$AM$2:$AM$59,MATCH($C$11,Tables!$C$2:$C$59,0)),0)</f>
        <v>0</v>
      </c>
      <c r="AN21" s="4" t="n">
        <f aca="false">IFERROR(INDEX(Tables!$AN$2:$AN$59,MATCH($C$11,Tables!$C$2:$C$59,0)),0)</f>
        <v>0</v>
      </c>
      <c r="AO21" s="4" t="n">
        <f aca="false">IFERROR(INDEX(Tables!$AO$2:$AO$59,MATCH($C$11,Tables!$C$2:$C$59,0)),0)</f>
        <v>0</v>
      </c>
      <c r="AP21" s="4" t="n">
        <f aca="false">IFERROR(INDEX(Tables!$AP$2:$AP$59,MATCH($C$11,Tables!$C$2:$C$59,0)),0)</f>
        <v>0</v>
      </c>
      <c r="AQ21" s="4" t="n">
        <f aca="false">IFERROR(INDEX(Tables!$AQ$2:$AQ$59,MATCH($C$11,Tables!$C$2:$C$59,0)),0)</f>
        <v>0</v>
      </c>
    </row>
    <row r="22" customFormat="false" ht="15" hidden="false" customHeight="false" outlineLevel="0" collapsed="false">
      <c r="A22" s="7" t="s">
        <v>16</v>
      </c>
      <c r="D22" s="4" t="n">
        <f aca="false">IFERROR(INDEX(Tables!$D$2:$D$59,MATCH($C$12,Tables!$C$2:$C$59,0)),0)</f>
        <v>0</v>
      </c>
      <c r="E22" s="4" t="n">
        <f aca="false">IFERROR(INDEX(Tables!$E$2:$E$59,MATCH($C$12,Tables!$C$2:$C$59,0)),0)</f>
        <v>0</v>
      </c>
      <c r="F22" s="4" t="n">
        <f aca="false">IFERROR(INDEX(Tables!$F$2:$F$59,MATCH($C$12,Tables!$C$2:$C$59,0)),0)</f>
        <v>0</v>
      </c>
      <c r="G22" s="4" t="n">
        <f aca="false">IFERROR(INDEX(Tables!$G$2:$G$59,MATCH($C$12,Tables!$C$2:$C$59,0)),0)</f>
        <v>0</v>
      </c>
      <c r="H22" s="4" t="n">
        <f aca="false">IFERROR(INDEX(Tables!$H$2:$H$59,MATCH($C$12,Tables!$C$2:$C$59,0)),0)</f>
        <v>0</v>
      </c>
      <c r="I22" s="4" t="n">
        <f aca="false">IFERROR(INDEX(Tables!$I$2:$I$59,MATCH($C$12,Tables!$C$2:$C$59,0)),0)</f>
        <v>0</v>
      </c>
      <c r="J22" s="4" t="n">
        <f aca="false">IFERROR(INDEX(Tables!$J$2:$J$59,MATCH($C$12,Tables!$C$2:$C$59,0)),0)</f>
        <v>0</v>
      </c>
      <c r="K22" s="4" t="n">
        <f aca="false">IFERROR(INDEX(Tables!$K$2:$K$59,MATCH($C$12,Tables!$C$2:$C$59,0)),0)</f>
        <v>0</v>
      </c>
      <c r="L22" s="4" t="n">
        <f aca="false">IFERROR(INDEX(Tables!$L$2:$L$59,MATCH($C$12,Tables!$C$2:$C$59,0)),0)</f>
        <v>0</v>
      </c>
      <c r="M22" s="4" t="n">
        <f aca="false">IFERROR(INDEX(Tables!$M$2:$M$59,MATCH($C$12,Tables!$C$2:$C$59,0)),0)</f>
        <v>0</v>
      </c>
      <c r="N22" s="4" t="n">
        <f aca="false">IFERROR(INDEX(Tables!$N$2:$N$59,MATCH($C$12,Tables!$C$2:$C$59,0)),0)</f>
        <v>0</v>
      </c>
      <c r="O22" s="4" t="n">
        <f aca="false">IFERROR(INDEX(Tables!$O$2:$O$59,MATCH($C$12,Tables!$C$2:$C$59,0)),0)</f>
        <v>0</v>
      </c>
      <c r="P22" s="4" t="n">
        <f aca="false">IFERROR(INDEX(Tables!$P$2:$P$59,MATCH($C$12,Tables!$C$2:$C$59,0)),0)</f>
        <v>0</v>
      </c>
      <c r="Q22" s="4" t="n">
        <f aca="false">IFERROR(INDEX(Tables!$Q$2:$Q$59,MATCH($C$12,Tables!$C$2:$C$59,0)),0)</f>
        <v>0</v>
      </c>
      <c r="R22" s="4" t="n">
        <f aca="false">IFERROR(INDEX(Tables!$R$2:$R$59,MATCH($C$12,Tables!$C$2:$C$59,0)),0)</f>
        <v>0</v>
      </c>
      <c r="S22" s="4" t="n">
        <f aca="false">IFERROR(INDEX(Tables!$S$2:$S$59,MATCH($C$12,Tables!$C$2:$C$59,0)),0)</f>
        <v>0</v>
      </c>
      <c r="T22" s="4" t="n">
        <f aca="false">IFERROR(INDEX(Tables!$T$2:$T$59,MATCH($C$12,Tables!$C$2:$C$59,0)),0)</f>
        <v>0</v>
      </c>
      <c r="U22" s="4" t="n">
        <f aca="false">IFERROR(INDEX(Tables!$U$2:$U$59,MATCH($C$12,Tables!$C$2:$C$59,0)),0)</f>
        <v>0</v>
      </c>
      <c r="V22" s="4" t="n">
        <f aca="false">IFERROR(INDEX(Tables!$V$2:$V$59,MATCH($C$12,Tables!$C$2:$C$59,0)),0)</f>
        <v>0</v>
      </c>
      <c r="W22" s="4" t="n">
        <f aca="false">IFERROR(INDEX(Tables!$W$2:$W$59,MATCH($C$12,Tables!$C$2:$C$59,0)),0)</f>
        <v>0</v>
      </c>
      <c r="X22" s="4" t="n">
        <f aca="false">IFERROR(INDEX(Tables!$X$2:$X$59,MATCH($C$12,Tables!$C$2:$C$59,0)),0)</f>
        <v>0</v>
      </c>
      <c r="Y22" s="4" t="n">
        <f aca="false">IFERROR(INDEX(Tables!$Y$2:$Y$59,MATCH($C$12,Tables!$C$2:$C$59,0)),0)</f>
        <v>0</v>
      </c>
      <c r="Z22" s="4" t="n">
        <f aca="false">IFERROR(INDEX(Tables!$Z$2:$Z$59,MATCH($C$12,Tables!$C$2:$C$59,0)),0)</f>
        <v>0</v>
      </c>
      <c r="AA22" s="4" t="n">
        <f aca="false">IFERROR(INDEX(Tables!$AA$2:$AA$59,MATCH($C$12,Tables!$C$2:$C$59,0)),0)</f>
        <v>0</v>
      </c>
      <c r="AB22" s="4" t="n">
        <f aca="false">IFERROR(INDEX(Tables!$AB$2:$AB$59,MATCH($C$12,Tables!$C$2:$C$59,0)),0)</f>
        <v>0</v>
      </c>
      <c r="AC22" s="4" t="n">
        <f aca="false">IFERROR(INDEX(Tables!$AC$2:$AC$59,MATCH($C$12,Tables!$C$2:$C$59,0)),0)</f>
        <v>0</v>
      </c>
      <c r="AD22" s="4" t="n">
        <f aca="false">IFERROR(INDEX(Tables!$AD$2:$AD$59,MATCH($C$12,Tables!$C$2:$C$59,0)),0)</f>
        <v>0</v>
      </c>
      <c r="AE22" s="4" t="n">
        <f aca="false">IFERROR(INDEX(Tables!$AE$2:$AE$59,MATCH($C$12,Tables!$C$2:$C$59,0)),0)</f>
        <v>0</v>
      </c>
      <c r="AF22" s="4" t="n">
        <f aca="false">IFERROR(INDEX(Tables!$AF$2:$AF$59,MATCH($C$12,Tables!$C$2:$C$59,0)),0)</f>
        <v>0</v>
      </c>
      <c r="AG22" s="4" t="n">
        <f aca="false">IFERROR(INDEX(Tables!$AG$2:$AG$59,MATCH($C$12,Tables!$C$2:$C$59,0)),0)</f>
        <v>0</v>
      </c>
      <c r="AH22" s="4" t="n">
        <f aca="false">IFERROR(INDEX(Tables!$AH$2:$AH$59,MATCH($C$12,Tables!$C$2:$C$59,0)),0)</f>
        <v>0</v>
      </c>
      <c r="AI22" s="4" t="n">
        <f aca="false">IFERROR(INDEX(Tables!$AI$2:$AI$59,MATCH($C$12,Tables!$C$2:$C$59,0)),0)</f>
        <v>0</v>
      </c>
      <c r="AJ22" s="4" t="n">
        <f aca="false">IFERROR(INDEX(Tables!$AJ$2:$AJ$59,MATCH($C$12,Tables!$C$2:$C$59,0)),0)</f>
        <v>0</v>
      </c>
      <c r="AK22" s="4" t="n">
        <f aca="false">IFERROR(INDEX(Tables!$AK$2:$AK$59,MATCH($C$12,Tables!$C$2:$C$59,0)),0)</f>
        <v>0</v>
      </c>
      <c r="AL22" s="4" t="n">
        <f aca="false">IFERROR(INDEX(Tables!$AL$2:$AL$59,MATCH($C$12,Tables!$C$2:$C$59,0)),0)</f>
        <v>0</v>
      </c>
      <c r="AM22" s="4" t="n">
        <f aca="false">IFERROR(INDEX(Tables!$AM$2:$AM$59,MATCH($C$12,Tables!$C$2:$C$59,0)),0)</f>
        <v>0</v>
      </c>
      <c r="AN22" s="4" t="n">
        <f aca="false">IFERROR(INDEX(Tables!$AN$2:$AN$59,MATCH($C$12,Tables!$C$2:$C$59,0)),0)</f>
        <v>0</v>
      </c>
      <c r="AO22" s="4" t="n">
        <f aca="false">IFERROR(INDEX(Tables!$AO$2:$AO$59,MATCH($C$12,Tables!$C$2:$C$59,0)),0)</f>
        <v>0</v>
      </c>
      <c r="AP22" s="4" t="n">
        <f aca="false">IFERROR(INDEX(Tables!$AP$2:$AP$59,MATCH($C$12,Tables!$C$2:$C$59,0)),0)</f>
        <v>0</v>
      </c>
      <c r="AQ22" s="4" t="n">
        <f aca="false">IFERROR(INDEX(Tables!$AQ$2:$AQ$59,MATCH($C$12,Tables!$C$2:$C$59,0)),0)</f>
        <v>0</v>
      </c>
    </row>
    <row r="24" customFormat="false" ht="15" hidden="false" customHeight="false" outlineLevel="0" collapsed="false">
      <c r="A24" s="2" t="s">
        <v>60</v>
      </c>
    </row>
    <row r="25" customFormat="false" ht="15" hidden="false" customHeight="false" outlineLevel="0" collapsed="false">
      <c r="A25" s="2" t="s">
        <v>61</v>
      </c>
      <c r="B25" s="6" t="n">
        <v>0</v>
      </c>
      <c r="C25" s="6" t="n">
        <v>1</v>
      </c>
      <c r="D25" s="6" t="n">
        <v>2</v>
      </c>
      <c r="E25" s="6" t="n">
        <v>3</v>
      </c>
      <c r="F25" s="6" t="n">
        <v>4</v>
      </c>
      <c r="G25" s="6" t="n">
        <v>5</v>
      </c>
      <c r="H25" s="6" t="n">
        <v>6</v>
      </c>
      <c r="I25" s="6" t="n">
        <v>7</v>
      </c>
      <c r="J25" s="6" t="n">
        <v>8</v>
      </c>
      <c r="K25" s="6" t="n">
        <v>9</v>
      </c>
      <c r="M25" s="2" t="s">
        <v>62</v>
      </c>
      <c r="N25" s="2" t="s">
        <v>63</v>
      </c>
      <c r="AJ25" s="10" t="s">
        <v>64</v>
      </c>
    </row>
    <row r="26" customFormat="false" ht="15" hidden="false" customHeight="false" outlineLevel="0" collapsed="false">
      <c r="A26" s="2" t="s">
        <v>65</v>
      </c>
      <c r="B26" s="11" t="n">
        <f aca="false">SUM(D17:D22)</f>
        <v>0</v>
      </c>
      <c r="C26" s="11" t="n">
        <f aca="false">SUM(E17:E22)</f>
        <v>-1</v>
      </c>
      <c r="D26" s="11" t="n">
        <f aca="false">SUM(F17:F22)</f>
        <v>0</v>
      </c>
      <c r="E26" s="11" t="n">
        <f aca="false">SUM(G17:G22)</f>
        <v>0</v>
      </c>
      <c r="F26" s="11" t="n">
        <f aca="false">SUM(H17:H22)</f>
        <v>0</v>
      </c>
      <c r="G26" s="11" t="n">
        <f aca="false">SUM(I17:I22)</f>
        <v>0</v>
      </c>
      <c r="H26" s="11" t="n">
        <f aca="false">SUM(J17:J22)</f>
        <v>0</v>
      </c>
      <c r="I26" s="11" t="n">
        <f aca="false">SUM(K17:K22)</f>
        <v>0</v>
      </c>
      <c r="J26" s="11" t="n">
        <f aca="false">SUM(L17:L22)</f>
        <v>0</v>
      </c>
      <c r="K26" s="11" t="n">
        <f aca="false">SUM(M17:M22)</f>
        <v>1</v>
      </c>
      <c r="M26" s="2" t="n">
        <f aca="false">MATCH(MAX($AJ26:$AS26),$AJ26:$AS26,0)-1</f>
        <v>9</v>
      </c>
      <c r="N26" s="7" t="n">
        <f aca="false">MATCH(LARGE($AJ26:$AS26,2),$AJ26:$AS26,0)-1</f>
        <v>8</v>
      </c>
      <c r="AJ26" s="12" t="n">
        <f aca="false">B26+0/1000000</f>
        <v>0</v>
      </c>
      <c r="AK26" s="12" t="n">
        <f aca="false">C26+1/1000000</f>
        <v>-0.999999</v>
      </c>
      <c r="AL26" s="12" t="n">
        <f aca="false">D26+2/1000000</f>
        <v>2E-006</v>
      </c>
      <c r="AM26" s="12" t="n">
        <f aca="false">E26+3/1000000</f>
        <v>3E-006</v>
      </c>
      <c r="AN26" s="12" t="n">
        <f aca="false">F26+4/1000000</f>
        <v>4E-006</v>
      </c>
      <c r="AO26" s="12" t="n">
        <f aca="false">G26+5/1000000</f>
        <v>5E-006</v>
      </c>
      <c r="AP26" s="12" t="n">
        <f aca="false">H26+6/1000000</f>
        <v>6E-006</v>
      </c>
      <c r="AQ26" s="12" t="n">
        <f aca="false">I26+7/1000000</f>
        <v>7E-006</v>
      </c>
      <c r="AR26" s="12" t="n">
        <f aca="false">J26+8/1000000</f>
        <v>8E-006</v>
      </c>
      <c r="AS26" s="12" t="n">
        <f aca="false">K26+9/1000000</f>
        <v>1.000009</v>
      </c>
    </row>
    <row r="27" customFormat="false" ht="15" hidden="false" customHeight="false" outlineLevel="0" collapsed="false">
      <c r="A27" s="2" t="s">
        <v>66</v>
      </c>
      <c r="B27" s="11" t="n">
        <f aca="false">SUM(N17:N22)</f>
        <v>0</v>
      </c>
      <c r="C27" s="11" t="n">
        <f aca="false">SUM(O17:O22)</f>
        <v>0</v>
      </c>
      <c r="D27" s="11" t="n">
        <f aca="false">SUM(P17:P22)</f>
        <v>0</v>
      </c>
      <c r="E27" s="11" t="n">
        <f aca="false">SUM(Q17:Q22)</f>
        <v>0</v>
      </c>
      <c r="F27" s="11" t="n">
        <f aca="false">SUM(R17:R22)</f>
        <v>0</v>
      </c>
      <c r="G27" s="11" t="n">
        <f aca="false">SUM(S17:S22)</f>
        <v>1</v>
      </c>
      <c r="H27" s="11" t="n">
        <f aca="false">SUM(T17:T22)</f>
        <v>0</v>
      </c>
      <c r="I27" s="11" t="n">
        <f aca="false">SUM(U17:U22)</f>
        <v>0</v>
      </c>
      <c r="J27" s="11" t="n">
        <f aca="false">SUM(V17:V22)</f>
        <v>0</v>
      </c>
      <c r="K27" s="11" t="n">
        <f aca="false">SUM(W17:W22)</f>
        <v>0</v>
      </c>
      <c r="M27" s="2" t="n">
        <f aca="false">MATCH(MAX($AJ27:$AS27),$AJ27:$AS27,0)-1</f>
        <v>5</v>
      </c>
      <c r="N27" s="7" t="n">
        <f aca="false">MATCH(LARGE($AJ27:$AS27,2),$AJ27:$AS27,0)-1</f>
        <v>9</v>
      </c>
      <c r="AJ27" s="12" t="n">
        <f aca="false">B27+0/1000000</f>
        <v>0</v>
      </c>
      <c r="AK27" s="12" t="n">
        <f aca="false">C27+1/1000000</f>
        <v>1E-006</v>
      </c>
      <c r="AL27" s="12" t="n">
        <f aca="false">D27+2/1000000</f>
        <v>2E-006</v>
      </c>
      <c r="AM27" s="12" t="n">
        <f aca="false">E27+3/1000000</f>
        <v>3E-006</v>
      </c>
      <c r="AN27" s="12" t="n">
        <f aca="false">F27+4/1000000</f>
        <v>4E-006</v>
      </c>
      <c r="AO27" s="12" t="n">
        <f aca="false">G27+5/1000000</f>
        <v>1.000005</v>
      </c>
      <c r="AP27" s="12" t="n">
        <f aca="false">H27+6/1000000</f>
        <v>6E-006</v>
      </c>
      <c r="AQ27" s="12" t="n">
        <f aca="false">I27+7/1000000</f>
        <v>7E-006</v>
      </c>
      <c r="AR27" s="12" t="n">
        <f aca="false">J27+8/1000000</f>
        <v>8E-006</v>
      </c>
      <c r="AS27" s="12" t="n">
        <f aca="false">K27+9/1000000</f>
        <v>9E-006</v>
      </c>
    </row>
    <row r="28" customFormat="false" ht="15" hidden="false" customHeight="false" outlineLevel="0" collapsed="false">
      <c r="A28" s="2" t="s">
        <v>67</v>
      </c>
      <c r="B28" s="11" t="n">
        <f aca="false">SUM(X17:X22)</f>
        <v>1</v>
      </c>
      <c r="C28" s="11" t="n">
        <f aca="false">SUM(Y17:Y22)</f>
        <v>0</v>
      </c>
      <c r="D28" s="11" t="n">
        <f aca="false">SUM(Z17:Z22)</f>
        <v>0</v>
      </c>
      <c r="E28" s="11" t="n">
        <f aca="false">SUM(AA17:AA22)</f>
        <v>0</v>
      </c>
      <c r="F28" s="11" t="n">
        <f aca="false">SUM(AB17:AB22)</f>
        <v>0</v>
      </c>
      <c r="G28" s="11" t="n">
        <f aca="false">SUM(AC17:AC22)</f>
        <v>0</v>
      </c>
      <c r="H28" s="11" t="n">
        <f aca="false">SUM(AD17:AD22)</f>
        <v>0</v>
      </c>
      <c r="I28" s="11" t="n">
        <f aca="false">SUM(AE17:AE22)</f>
        <v>0</v>
      </c>
      <c r="J28" s="11" t="n">
        <f aca="false">SUM(AF17:AF22)</f>
        <v>0</v>
      </c>
      <c r="K28" s="11" t="n">
        <f aca="false">SUM(AG17:AG22)</f>
        <v>0</v>
      </c>
      <c r="M28" s="2" t="n">
        <f aca="false">MATCH(MAX($AJ28:$AS28),$AJ28:$AS28,0)-1</f>
        <v>0</v>
      </c>
      <c r="N28" s="7" t="n">
        <f aca="false">MATCH(LARGE($AJ28:$AS28,2),$AJ28:$AS28,0)-1</f>
        <v>9</v>
      </c>
      <c r="AJ28" s="12" t="n">
        <f aca="false">B28+0/1000000</f>
        <v>1</v>
      </c>
      <c r="AK28" s="12" t="n">
        <f aca="false">C28+1/1000000</f>
        <v>1E-006</v>
      </c>
      <c r="AL28" s="12" t="n">
        <f aca="false">D28+2/1000000</f>
        <v>2E-006</v>
      </c>
      <c r="AM28" s="12" t="n">
        <f aca="false">E28+3/1000000</f>
        <v>3E-006</v>
      </c>
      <c r="AN28" s="12" t="n">
        <f aca="false">F28+4/1000000</f>
        <v>4E-006</v>
      </c>
      <c r="AO28" s="12" t="n">
        <f aca="false">G28+5/1000000</f>
        <v>5E-006</v>
      </c>
      <c r="AP28" s="12" t="n">
        <f aca="false">H28+6/1000000</f>
        <v>6E-006</v>
      </c>
      <c r="AQ28" s="12" t="n">
        <f aca="false">I28+7/1000000</f>
        <v>7E-006</v>
      </c>
      <c r="AR28" s="12" t="n">
        <f aca="false">J28+8/1000000</f>
        <v>8E-006</v>
      </c>
      <c r="AS28" s="12" t="n">
        <f aca="false">K28+9/1000000</f>
        <v>9E-006</v>
      </c>
    </row>
    <row r="29" customFormat="false" ht="15" hidden="false" customHeight="false" outlineLevel="0" collapsed="false">
      <c r="A29" s="2" t="s">
        <v>68</v>
      </c>
      <c r="B29" s="11" t="n">
        <f aca="false">SUM(AH17:AH22)</f>
        <v>0</v>
      </c>
      <c r="C29" s="11" t="n">
        <f aca="false">SUM(AI17:AI22)</f>
        <v>0</v>
      </c>
      <c r="D29" s="11" t="n">
        <f aca="false">SUM(AJ17:AJ22)</f>
        <v>0</v>
      </c>
      <c r="E29" s="11" t="n">
        <f aca="false">SUM(AK17:AK22)</f>
        <v>0</v>
      </c>
      <c r="F29" s="11" t="n">
        <f aca="false">SUM(AL17:AL22)</f>
        <v>0</v>
      </c>
      <c r="G29" s="11" t="n">
        <f aca="false">SUM(AM17:AM22)</f>
        <v>0</v>
      </c>
      <c r="H29" s="11" t="n">
        <f aca="false">SUM(AN17:AN22)</f>
        <v>0</v>
      </c>
      <c r="I29" s="11" t="n">
        <f aca="false">SUM(AO17:AO22)</f>
        <v>0</v>
      </c>
      <c r="J29" s="11" t="n">
        <f aca="false">SUM(AP17:AP22)</f>
        <v>-1</v>
      </c>
      <c r="K29" s="11" t="n">
        <f aca="false">SUM(AQ17:AQ22)</f>
        <v>0</v>
      </c>
      <c r="M29" s="2" t="n">
        <f aca="false">MATCH(MAX($AJ29:$AS29),$AJ29:$AS29,0)-1</f>
        <v>9</v>
      </c>
      <c r="N29" s="7" t="n">
        <f aca="false">MATCH(LARGE($AJ29:$AS29,2),$AJ29:$AS29,0)-1</f>
        <v>7</v>
      </c>
      <c r="AJ29" s="12" t="n">
        <f aca="false">B29+0/1000000</f>
        <v>0</v>
      </c>
      <c r="AK29" s="12" t="n">
        <f aca="false">C29+1/1000000</f>
        <v>1E-006</v>
      </c>
      <c r="AL29" s="12" t="n">
        <f aca="false">D29+2/1000000</f>
        <v>2E-006</v>
      </c>
      <c r="AM29" s="12" t="n">
        <f aca="false">E29+3/1000000</f>
        <v>3E-006</v>
      </c>
      <c r="AN29" s="12" t="n">
        <f aca="false">F29+4/1000000</f>
        <v>4E-006</v>
      </c>
      <c r="AO29" s="12" t="n">
        <f aca="false">G29+5/1000000</f>
        <v>5E-006</v>
      </c>
      <c r="AP29" s="12" t="n">
        <f aca="false">H29+6/1000000</f>
        <v>6E-006</v>
      </c>
      <c r="AQ29" s="12" t="n">
        <f aca="false">I29+7/1000000</f>
        <v>7E-006</v>
      </c>
      <c r="AR29" s="12" t="n">
        <f aca="false">J29+8/1000000</f>
        <v>-0.999992</v>
      </c>
      <c r="AS29" s="12" t="n">
        <f aca="false">K29+9/1000000</f>
        <v>9E-006</v>
      </c>
    </row>
    <row r="31" customFormat="false" ht="15" hidden="false" customHeight="false" outlineLevel="0" collapsed="false">
      <c r="A31" s="2" t="s">
        <v>69</v>
      </c>
    </row>
    <row r="32" customFormat="false" ht="15" hidden="false" customHeight="false" outlineLevel="0" collapsed="false">
      <c r="A32" s="6" t="s">
        <v>70</v>
      </c>
      <c r="B32" s="6" t="s">
        <v>71</v>
      </c>
      <c r="C32" s="6" t="s">
        <v>72</v>
      </c>
      <c r="D32" s="6" t="s">
        <v>73</v>
      </c>
      <c r="E32" s="6" t="s">
        <v>74</v>
      </c>
      <c r="F32" s="6" t="s">
        <v>9</v>
      </c>
      <c r="G32" s="6" t="s">
        <v>75</v>
      </c>
    </row>
    <row r="33" customFormat="false" ht="15" hidden="false" customHeight="false" outlineLevel="0" collapsed="false">
      <c r="A33" s="7" t="n">
        <v>1</v>
      </c>
      <c r="B33" s="7" t="n">
        <f aca="false">IF(0=0,$M$26,$N$26)</f>
        <v>9</v>
      </c>
      <c r="C33" s="7" t="n">
        <f aca="false">IF(0=0,$M$27,$N$27)</f>
        <v>5</v>
      </c>
      <c r="D33" s="7" t="n">
        <f aca="false">IF(0=0,$M$28,$N$28)</f>
        <v>0</v>
      </c>
      <c r="E33" s="7" t="n">
        <f aca="false">IF(0=0,$M$29,$N$29)</f>
        <v>9</v>
      </c>
      <c r="F33" s="7" t="str">
        <f aca="false">TEXT(B33*1000+C33*100+D33*10+E33,"0000")</f>
        <v>9509</v>
      </c>
      <c r="G33" s="9" t="n">
        <f aca="false">INDEX($B$26:$K$26,B33+1)+INDEX($B$27:$K$27,C33+1)+INDEX($B$28:$K$28,D33+1)+INDEX($B$29:$K$29,E33+1)-0/1000000000-0/1000000000000</f>
        <v>3</v>
      </c>
    </row>
    <row r="34" customFormat="false" ht="15" hidden="false" customHeight="false" outlineLevel="0" collapsed="false">
      <c r="A34" s="7" t="n">
        <v>2</v>
      </c>
      <c r="B34" s="7" t="n">
        <f aca="false">IF(0=0,$M$26,$N$26)</f>
        <v>9</v>
      </c>
      <c r="C34" s="7" t="n">
        <f aca="false">IF(0=0,$M$27,$N$27)</f>
        <v>5</v>
      </c>
      <c r="D34" s="7" t="n">
        <f aca="false">IF(0=0,$M$28,$N$28)</f>
        <v>0</v>
      </c>
      <c r="E34" s="7" t="n">
        <f aca="false">IF(1=0,$M$29,$N$29)</f>
        <v>7</v>
      </c>
      <c r="F34" s="7" t="str">
        <f aca="false">TEXT(B34*1000+C34*100+D34*10+E34,"0000")</f>
        <v>9507</v>
      </c>
      <c r="G34" s="9" t="n">
        <f aca="false">INDEX($B$26:$K$26,B34+1)+INDEX($B$27:$K$27,C34+1)+INDEX($B$28:$K$28,D34+1)+INDEX($B$29:$K$29,E34+1)-1/1000000000-1/1000000000000</f>
        <v>2.999999998999</v>
      </c>
    </row>
    <row r="35" customFormat="false" ht="15" hidden="false" customHeight="false" outlineLevel="0" collapsed="false">
      <c r="A35" s="7" t="n">
        <v>3</v>
      </c>
      <c r="B35" s="7" t="n">
        <f aca="false">IF(0=0,$M$26,$N$26)</f>
        <v>9</v>
      </c>
      <c r="C35" s="7" t="n">
        <f aca="false">IF(0=0,$M$27,$N$27)</f>
        <v>5</v>
      </c>
      <c r="D35" s="7" t="n">
        <f aca="false">IF(1=0,$M$28,$N$28)</f>
        <v>9</v>
      </c>
      <c r="E35" s="7" t="n">
        <f aca="false">IF(0=0,$M$29,$N$29)</f>
        <v>9</v>
      </c>
      <c r="F35" s="7" t="str">
        <f aca="false">TEXT(B35*1000+C35*100+D35*10+E35,"0000")</f>
        <v>9599</v>
      </c>
      <c r="G35" s="9" t="n">
        <f aca="false">INDEX($B$26:$K$26,B35+1)+INDEX($B$27:$K$27,C35+1)+INDEX($B$28:$K$28,D35+1)+INDEX($B$29:$K$29,E35+1)-1/1000000000-2/1000000000000</f>
        <v>1.999999998998</v>
      </c>
    </row>
    <row r="36" customFormat="false" ht="15" hidden="false" customHeight="false" outlineLevel="0" collapsed="false">
      <c r="A36" s="7" t="n">
        <v>4</v>
      </c>
      <c r="B36" s="7" t="n">
        <f aca="false">IF(0=0,$M$26,$N$26)</f>
        <v>9</v>
      </c>
      <c r="C36" s="7" t="n">
        <f aca="false">IF(0=0,$M$27,$N$27)</f>
        <v>5</v>
      </c>
      <c r="D36" s="7" t="n">
        <f aca="false">IF(1=0,$M$28,$N$28)</f>
        <v>9</v>
      </c>
      <c r="E36" s="7" t="n">
        <f aca="false">IF(1=0,$M$29,$N$29)</f>
        <v>7</v>
      </c>
      <c r="F36" s="7" t="str">
        <f aca="false">TEXT(B36*1000+C36*100+D36*10+E36,"0000")</f>
        <v>9597</v>
      </c>
      <c r="G36" s="9" t="n">
        <f aca="false">INDEX($B$26:$K$26,B36+1)+INDEX($B$27:$K$27,C36+1)+INDEX($B$28:$K$28,D36+1)+INDEX($B$29:$K$29,E36+1)-2/1000000000-3/1000000000000</f>
        <v>1.999999997997</v>
      </c>
    </row>
    <row r="37" customFormat="false" ht="15" hidden="false" customHeight="false" outlineLevel="0" collapsed="false">
      <c r="A37" s="7" t="n">
        <v>5</v>
      </c>
      <c r="B37" s="7" t="n">
        <f aca="false">IF(0=0,$M$26,$N$26)</f>
        <v>9</v>
      </c>
      <c r="C37" s="7" t="n">
        <f aca="false">IF(1=0,$M$27,$N$27)</f>
        <v>9</v>
      </c>
      <c r="D37" s="7" t="n">
        <f aca="false">IF(0=0,$M$28,$N$28)</f>
        <v>0</v>
      </c>
      <c r="E37" s="7" t="n">
        <f aca="false">IF(0=0,$M$29,$N$29)</f>
        <v>9</v>
      </c>
      <c r="F37" s="7" t="str">
        <f aca="false">TEXT(B37*1000+C37*100+D37*10+E37,"0000")</f>
        <v>9909</v>
      </c>
      <c r="G37" s="9" t="n">
        <f aca="false">INDEX($B$26:$K$26,B37+1)+INDEX($B$27:$K$27,C37+1)+INDEX($B$28:$K$28,D37+1)+INDEX($B$29:$K$29,E37+1)-1/1000000000-4/1000000000000</f>
        <v>1.999999998996</v>
      </c>
    </row>
    <row r="38" customFormat="false" ht="15" hidden="false" customHeight="false" outlineLevel="0" collapsed="false">
      <c r="A38" s="7" t="n">
        <v>6</v>
      </c>
      <c r="B38" s="7" t="n">
        <f aca="false">IF(0=0,$M$26,$N$26)</f>
        <v>9</v>
      </c>
      <c r="C38" s="7" t="n">
        <f aca="false">IF(1=0,$M$27,$N$27)</f>
        <v>9</v>
      </c>
      <c r="D38" s="7" t="n">
        <f aca="false">IF(0=0,$M$28,$N$28)</f>
        <v>0</v>
      </c>
      <c r="E38" s="7" t="n">
        <f aca="false">IF(1=0,$M$29,$N$29)</f>
        <v>7</v>
      </c>
      <c r="F38" s="7" t="str">
        <f aca="false">TEXT(B38*1000+C38*100+D38*10+E38,"0000")</f>
        <v>9907</v>
      </c>
      <c r="G38" s="9" t="n">
        <f aca="false">INDEX($B$26:$K$26,B38+1)+INDEX($B$27:$K$27,C38+1)+INDEX($B$28:$K$28,D38+1)+INDEX($B$29:$K$29,E38+1)-2/1000000000-5/1000000000000</f>
        <v>1.999999997995</v>
      </c>
    </row>
    <row r="39" customFormat="false" ht="15" hidden="false" customHeight="false" outlineLevel="0" collapsed="false">
      <c r="A39" s="7" t="n">
        <v>7</v>
      </c>
      <c r="B39" s="7" t="n">
        <f aca="false">IF(0=0,$M$26,$N$26)</f>
        <v>9</v>
      </c>
      <c r="C39" s="7" t="n">
        <f aca="false">IF(1=0,$M$27,$N$27)</f>
        <v>9</v>
      </c>
      <c r="D39" s="7" t="n">
        <f aca="false">IF(1=0,$M$28,$N$28)</f>
        <v>9</v>
      </c>
      <c r="E39" s="7" t="n">
        <f aca="false">IF(0=0,$M$29,$N$29)</f>
        <v>9</v>
      </c>
      <c r="F39" s="7" t="str">
        <f aca="false">TEXT(B39*1000+C39*100+D39*10+E39,"0000")</f>
        <v>9999</v>
      </c>
      <c r="G39" s="9" t="n">
        <f aca="false">INDEX($B$26:$K$26,B39+1)+INDEX($B$27:$K$27,C39+1)+INDEX($B$28:$K$28,D39+1)+INDEX($B$29:$K$29,E39+1)-2/1000000000-6/1000000000000</f>
        <v>0.999999997994</v>
      </c>
    </row>
    <row r="40" customFormat="false" ht="15" hidden="false" customHeight="false" outlineLevel="0" collapsed="false">
      <c r="A40" s="7" t="n">
        <v>8</v>
      </c>
      <c r="B40" s="7" t="n">
        <f aca="false">IF(0=0,$M$26,$N$26)</f>
        <v>9</v>
      </c>
      <c r="C40" s="7" t="n">
        <f aca="false">IF(1=0,$M$27,$N$27)</f>
        <v>9</v>
      </c>
      <c r="D40" s="7" t="n">
        <f aca="false">IF(1=0,$M$28,$N$28)</f>
        <v>9</v>
      </c>
      <c r="E40" s="7" t="n">
        <f aca="false">IF(1=0,$M$29,$N$29)</f>
        <v>7</v>
      </c>
      <c r="F40" s="7" t="str">
        <f aca="false">TEXT(B40*1000+C40*100+D40*10+E40,"0000")</f>
        <v>9997</v>
      </c>
      <c r="G40" s="9" t="n">
        <f aca="false">INDEX($B$26:$K$26,B40+1)+INDEX($B$27:$K$27,C40+1)+INDEX($B$28:$K$28,D40+1)+INDEX($B$29:$K$29,E40+1)-3/1000000000-7/1000000000000</f>
        <v>0.999999996993</v>
      </c>
    </row>
    <row r="41" customFormat="false" ht="15" hidden="false" customHeight="false" outlineLevel="0" collapsed="false">
      <c r="A41" s="7" t="n">
        <v>9</v>
      </c>
      <c r="B41" s="7" t="n">
        <f aca="false">IF(1=0,$M$26,$N$26)</f>
        <v>8</v>
      </c>
      <c r="C41" s="7" t="n">
        <f aca="false">IF(0=0,$M$27,$N$27)</f>
        <v>5</v>
      </c>
      <c r="D41" s="7" t="n">
        <f aca="false">IF(0=0,$M$28,$N$28)</f>
        <v>0</v>
      </c>
      <c r="E41" s="7" t="n">
        <f aca="false">IF(0=0,$M$29,$N$29)</f>
        <v>9</v>
      </c>
      <c r="F41" s="7" t="str">
        <f aca="false">TEXT(B41*1000+C41*100+D41*10+E41,"0000")</f>
        <v>8509</v>
      </c>
      <c r="G41" s="9" t="n">
        <f aca="false">INDEX($B$26:$K$26,B41+1)+INDEX($B$27:$K$27,C41+1)+INDEX($B$28:$K$28,D41+1)+INDEX($B$29:$K$29,E41+1)-1/1000000000-8/1000000000000</f>
        <v>1.999999998992</v>
      </c>
    </row>
    <row r="42" customFormat="false" ht="15" hidden="false" customHeight="false" outlineLevel="0" collapsed="false">
      <c r="A42" s="7" t="n">
        <v>10</v>
      </c>
      <c r="B42" s="7" t="n">
        <f aca="false">IF(1=0,$M$26,$N$26)</f>
        <v>8</v>
      </c>
      <c r="C42" s="7" t="n">
        <f aca="false">IF(0=0,$M$27,$N$27)</f>
        <v>5</v>
      </c>
      <c r="D42" s="7" t="n">
        <f aca="false">IF(0=0,$M$28,$N$28)</f>
        <v>0</v>
      </c>
      <c r="E42" s="7" t="n">
        <f aca="false">IF(1=0,$M$29,$N$29)</f>
        <v>7</v>
      </c>
      <c r="F42" s="7" t="str">
        <f aca="false">TEXT(B42*1000+C42*100+D42*10+E42,"0000")</f>
        <v>8507</v>
      </c>
      <c r="G42" s="9" t="n">
        <f aca="false">INDEX($B$26:$K$26,B42+1)+INDEX($B$27:$K$27,C42+1)+INDEX($B$28:$K$28,D42+1)+INDEX($B$29:$K$29,E42+1)-2/1000000000-9/1000000000000</f>
        <v>1.999999997991</v>
      </c>
    </row>
    <row r="43" customFormat="false" ht="15" hidden="false" customHeight="false" outlineLevel="0" collapsed="false">
      <c r="A43" s="7" t="n">
        <v>11</v>
      </c>
      <c r="B43" s="7" t="n">
        <f aca="false">IF(1=0,$M$26,$N$26)</f>
        <v>8</v>
      </c>
      <c r="C43" s="7" t="n">
        <f aca="false">IF(0=0,$M$27,$N$27)</f>
        <v>5</v>
      </c>
      <c r="D43" s="7" t="n">
        <f aca="false">IF(1=0,$M$28,$N$28)</f>
        <v>9</v>
      </c>
      <c r="E43" s="7" t="n">
        <f aca="false">IF(0=0,$M$29,$N$29)</f>
        <v>9</v>
      </c>
      <c r="F43" s="7" t="str">
        <f aca="false">TEXT(B43*1000+C43*100+D43*10+E43,"0000")</f>
        <v>8599</v>
      </c>
      <c r="G43" s="9" t="n">
        <f aca="false">INDEX($B$26:$K$26,B43+1)+INDEX($B$27:$K$27,C43+1)+INDEX($B$28:$K$28,D43+1)+INDEX($B$29:$K$29,E43+1)-2/1000000000-10/1000000000000</f>
        <v>0.99999999799</v>
      </c>
    </row>
    <row r="44" customFormat="false" ht="15" hidden="false" customHeight="false" outlineLevel="0" collapsed="false">
      <c r="A44" s="7" t="n">
        <v>12</v>
      </c>
      <c r="B44" s="7" t="n">
        <f aca="false">IF(1=0,$M$26,$N$26)</f>
        <v>8</v>
      </c>
      <c r="C44" s="7" t="n">
        <f aca="false">IF(0=0,$M$27,$N$27)</f>
        <v>5</v>
      </c>
      <c r="D44" s="7" t="n">
        <f aca="false">IF(1=0,$M$28,$N$28)</f>
        <v>9</v>
      </c>
      <c r="E44" s="7" t="n">
        <f aca="false">IF(1=0,$M$29,$N$29)</f>
        <v>7</v>
      </c>
      <c r="F44" s="7" t="str">
        <f aca="false">TEXT(B44*1000+C44*100+D44*10+E44,"0000")</f>
        <v>8597</v>
      </c>
      <c r="G44" s="9" t="n">
        <f aca="false">INDEX($B$26:$K$26,B44+1)+INDEX($B$27:$K$27,C44+1)+INDEX($B$28:$K$28,D44+1)+INDEX($B$29:$K$29,E44+1)-3/1000000000-11/1000000000000</f>
        <v>0.999999996989</v>
      </c>
    </row>
    <row r="45" customFormat="false" ht="15" hidden="false" customHeight="false" outlineLevel="0" collapsed="false">
      <c r="A45" s="7" t="n">
        <v>13</v>
      </c>
      <c r="B45" s="7" t="n">
        <f aca="false">IF(1=0,$M$26,$N$26)</f>
        <v>8</v>
      </c>
      <c r="C45" s="7" t="n">
        <f aca="false">IF(1=0,$M$27,$N$27)</f>
        <v>9</v>
      </c>
      <c r="D45" s="7" t="n">
        <f aca="false">IF(0=0,$M$28,$N$28)</f>
        <v>0</v>
      </c>
      <c r="E45" s="7" t="n">
        <f aca="false">IF(0=0,$M$29,$N$29)</f>
        <v>9</v>
      </c>
      <c r="F45" s="7" t="str">
        <f aca="false">TEXT(B45*1000+C45*100+D45*10+E45,"0000")</f>
        <v>8909</v>
      </c>
      <c r="G45" s="9" t="n">
        <f aca="false">INDEX($B$26:$K$26,B45+1)+INDEX($B$27:$K$27,C45+1)+INDEX($B$28:$K$28,D45+1)+INDEX($B$29:$K$29,E45+1)-2/1000000000-12/1000000000000</f>
        <v>0.999999997988</v>
      </c>
    </row>
    <row r="46" customFormat="false" ht="15" hidden="false" customHeight="false" outlineLevel="0" collapsed="false">
      <c r="A46" s="7" t="n">
        <v>14</v>
      </c>
      <c r="B46" s="7" t="n">
        <f aca="false">IF(1=0,$M$26,$N$26)</f>
        <v>8</v>
      </c>
      <c r="C46" s="7" t="n">
        <f aca="false">IF(1=0,$M$27,$N$27)</f>
        <v>9</v>
      </c>
      <c r="D46" s="7" t="n">
        <f aca="false">IF(0=0,$M$28,$N$28)</f>
        <v>0</v>
      </c>
      <c r="E46" s="7" t="n">
        <f aca="false">IF(1=0,$M$29,$N$29)</f>
        <v>7</v>
      </c>
      <c r="F46" s="7" t="str">
        <f aca="false">TEXT(B46*1000+C46*100+D46*10+E46,"0000")</f>
        <v>8907</v>
      </c>
      <c r="G46" s="9" t="n">
        <f aca="false">INDEX($B$26:$K$26,B46+1)+INDEX($B$27:$K$27,C46+1)+INDEX($B$28:$K$28,D46+1)+INDEX($B$29:$K$29,E46+1)-3/1000000000-13/1000000000000</f>
        <v>0.999999996987</v>
      </c>
    </row>
    <row r="47" customFormat="false" ht="15" hidden="false" customHeight="false" outlineLevel="0" collapsed="false">
      <c r="A47" s="7" t="n">
        <v>15</v>
      </c>
      <c r="B47" s="7" t="n">
        <f aca="false">IF(1=0,$M$26,$N$26)</f>
        <v>8</v>
      </c>
      <c r="C47" s="7" t="n">
        <f aca="false">IF(1=0,$M$27,$N$27)</f>
        <v>9</v>
      </c>
      <c r="D47" s="7" t="n">
        <f aca="false">IF(1=0,$M$28,$N$28)</f>
        <v>9</v>
      </c>
      <c r="E47" s="7" t="n">
        <f aca="false">IF(0=0,$M$29,$N$29)</f>
        <v>9</v>
      </c>
      <c r="F47" s="7" t="str">
        <f aca="false">TEXT(B47*1000+C47*100+D47*10+E47,"0000")</f>
        <v>8999</v>
      </c>
      <c r="G47" s="9" t="n">
        <f aca="false">INDEX($B$26:$K$26,B47+1)+INDEX($B$27:$K$27,C47+1)+INDEX($B$28:$K$28,D47+1)+INDEX($B$29:$K$29,E47+1)-3/1000000000-14/1000000000000</f>
        <v>-3.014E-009</v>
      </c>
    </row>
    <row r="48" customFormat="false" ht="15" hidden="false" customHeight="false" outlineLevel="0" collapsed="false">
      <c r="A48" s="7" t="n">
        <v>16</v>
      </c>
      <c r="B48" s="7" t="n">
        <f aca="false">IF(1=0,$M$26,$N$26)</f>
        <v>8</v>
      </c>
      <c r="C48" s="7" t="n">
        <f aca="false">IF(1=0,$M$27,$N$27)</f>
        <v>9</v>
      </c>
      <c r="D48" s="7" t="n">
        <f aca="false">IF(1=0,$M$28,$N$28)</f>
        <v>9</v>
      </c>
      <c r="E48" s="7" t="n">
        <f aca="false">IF(1=0,$M$29,$N$29)</f>
        <v>7</v>
      </c>
      <c r="F48" s="7" t="str">
        <f aca="false">TEXT(B48*1000+C48*100+D48*10+E48,"0000")</f>
        <v>8997</v>
      </c>
      <c r="G48" s="9" t="n">
        <f aca="false">INDEX($B$26:$K$26,B48+1)+INDEX($B$27:$K$27,C48+1)+INDEX($B$28:$K$28,D48+1)+INDEX($B$29:$K$29,E48+1)-4/1000000000-15/1000000000000</f>
        <v>-4.015E-009</v>
      </c>
    </row>
  </sheetData>
  <dataValidations count="1">
    <dataValidation allowBlank="false" error="Date must be in the Calendar sheet range." errorStyle="stop" operator="between" showDropDown="false" showErrorMessage="true" showInputMessage="false" sqref="B3" type="date">
      <formula1>Calendar!$A$2</formula1>
      <formula2>Calendar!$A$441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0"/>
  </cols>
  <sheetData>
    <row r="1" customFormat="false" ht="17.35" hidden="false" customHeight="false" outlineLevel="0" collapsed="false">
      <c r="A1" s="13" t="s">
        <v>76</v>
      </c>
    </row>
    <row r="2" customFormat="false" ht="15" hidden="false" customHeight="false" outlineLevel="0" collapsed="false">
      <c r="A2" s="14"/>
    </row>
    <row r="3" customFormat="false" ht="15" hidden="false" customHeight="false" outlineLevel="0" collapsed="false">
      <c r="A3" s="15" t="s">
        <v>77</v>
      </c>
    </row>
    <row r="4" customFormat="false" ht="15" hidden="false" customHeight="false" outlineLevel="0" collapsed="false">
      <c r="A4" s="14" t="s">
        <v>78</v>
      </c>
    </row>
    <row r="5" customFormat="false" ht="15" hidden="false" customHeight="false" outlineLevel="0" collapsed="false">
      <c r="A5" s="14" t="s">
        <v>79</v>
      </c>
    </row>
    <row r="6" customFormat="false" ht="15" hidden="false" customHeight="false" outlineLevel="0" collapsed="false">
      <c r="A6" s="14" t="s">
        <v>80</v>
      </c>
    </row>
    <row r="7" customFormat="false" ht="15" hidden="false" customHeight="false" outlineLevel="0" collapsed="false">
      <c r="A7" s="14"/>
    </row>
    <row r="8" customFormat="false" ht="15" hidden="false" customHeight="false" outlineLevel="0" collapsed="false">
      <c r="A8" s="15" t="s">
        <v>81</v>
      </c>
    </row>
    <row r="9" customFormat="false" ht="15" hidden="false" customHeight="false" outlineLevel="0" collapsed="false">
      <c r="A9" s="14" t="s">
        <v>82</v>
      </c>
    </row>
    <row r="10" customFormat="false" ht="15" hidden="false" customHeight="false" outlineLevel="0" collapsed="false">
      <c r="A10" s="14" t="s">
        <v>83</v>
      </c>
    </row>
    <row r="11" customFormat="false" ht="15" hidden="false" customHeight="false" outlineLevel="0" collapsed="false">
      <c r="A11" s="14" t="s">
        <v>84</v>
      </c>
    </row>
    <row r="12" customFormat="false" ht="15" hidden="false" customHeight="false" outlineLevel="0" collapsed="false">
      <c r="A12" s="14" t="s">
        <v>85</v>
      </c>
    </row>
    <row r="13" customFormat="false" ht="15" hidden="false" customHeight="false" outlineLevel="0" collapsed="false">
      <c r="A13" s="14"/>
    </row>
    <row r="14" customFormat="false" ht="15" hidden="false" customHeight="false" outlineLevel="0" collapsed="false">
      <c r="A14" s="15" t="s">
        <v>86</v>
      </c>
    </row>
    <row r="15" customFormat="false" ht="15" hidden="false" customHeight="false" outlineLevel="0" collapsed="false">
      <c r="A15" s="14" t="s">
        <v>87</v>
      </c>
    </row>
    <row r="16" customFormat="false" ht="15" hidden="false" customHeight="false" outlineLevel="0" collapsed="false">
      <c r="A16" s="14" t="s">
        <v>88</v>
      </c>
    </row>
    <row r="17" customFormat="false" ht="15" hidden="false" customHeight="false" outlineLevel="0" collapsed="false">
      <c r="A17" s="14" t="s">
        <v>89</v>
      </c>
    </row>
    <row r="18" customFormat="false" ht="15" hidden="false" customHeight="false" outlineLevel="0" collapsed="false">
      <c r="A18" s="14"/>
    </row>
    <row r="19" customFormat="false" ht="15" hidden="false" customHeight="false" outlineLevel="0" collapsed="false">
      <c r="A19" s="15" t="s">
        <v>90</v>
      </c>
    </row>
    <row r="20" customFormat="false" ht="15" hidden="false" customHeight="false" outlineLevel="0" collapsed="false">
      <c r="A20" s="14" t="s">
        <v>91</v>
      </c>
    </row>
    <row r="21" customFormat="false" ht="15" hidden="false" customHeight="false" outlineLevel="0" collapsed="false">
      <c r="A21" s="14" t="s">
        <v>92</v>
      </c>
    </row>
    <row r="22" customFormat="false" ht="15" hidden="false" customHeight="false" outlineLevel="0" collapsed="false">
      <c r="A22" s="14" t="s">
        <v>93</v>
      </c>
    </row>
    <row r="23" customFormat="false" ht="15" hidden="false" customHeight="false" outlineLevel="0" collapsed="false">
      <c r="A23" s="14" t="s">
        <v>94</v>
      </c>
    </row>
    <row r="24" customFormat="false" ht="15" hidden="false" customHeight="false" outlineLevel="0" collapsed="false">
      <c r="A24" s="14"/>
    </row>
    <row r="25" customFormat="false" ht="15" hidden="false" customHeight="false" outlineLevel="0" collapsed="false">
      <c r="A25" s="16" t="s">
        <v>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3" min="1" style="0" width="18"/>
    <col collapsed="false" customWidth="true" hidden="false" outlineLevel="0" max="43" min="4" style="0" width="6"/>
  </cols>
  <sheetData>
    <row r="1" customFormat="false" ht="15" hidden="false" customHeight="false" outlineLevel="0" collapsed="false">
      <c r="A1" s="2" t="s">
        <v>5</v>
      </c>
      <c r="B1" s="2" t="s">
        <v>96</v>
      </c>
      <c r="C1" s="2" t="s">
        <v>97</v>
      </c>
      <c r="D1" s="2" t="s">
        <v>98</v>
      </c>
      <c r="E1" s="2" t="s">
        <v>99</v>
      </c>
      <c r="F1" s="2" t="s">
        <v>100</v>
      </c>
      <c r="G1" s="2" t="s">
        <v>101</v>
      </c>
      <c r="H1" s="2" t="s">
        <v>102</v>
      </c>
      <c r="I1" s="2" t="s">
        <v>103</v>
      </c>
      <c r="J1" s="2" t="s">
        <v>104</v>
      </c>
      <c r="K1" s="2" t="s">
        <v>105</v>
      </c>
      <c r="L1" s="2" t="s">
        <v>106</v>
      </c>
      <c r="M1" s="2" t="s">
        <v>107</v>
      </c>
      <c r="N1" s="2" t="s">
        <v>108</v>
      </c>
      <c r="O1" s="2" t="s">
        <v>109</v>
      </c>
      <c r="P1" s="2" t="s">
        <v>110</v>
      </c>
      <c r="Q1" s="2" t="s">
        <v>111</v>
      </c>
      <c r="R1" s="2" t="s">
        <v>112</v>
      </c>
      <c r="S1" s="2" t="s">
        <v>113</v>
      </c>
      <c r="T1" s="2" t="s">
        <v>114</v>
      </c>
      <c r="U1" s="2" t="s">
        <v>115</v>
      </c>
      <c r="V1" s="2" t="s">
        <v>116</v>
      </c>
      <c r="W1" s="2" t="s">
        <v>117</v>
      </c>
      <c r="X1" s="2" t="s">
        <v>118</v>
      </c>
      <c r="Y1" s="2" t="s">
        <v>119</v>
      </c>
      <c r="Z1" s="2" t="s">
        <v>120</v>
      </c>
      <c r="AA1" s="2" t="s">
        <v>121</v>
      </c>
      <c r="AB1" s="2" t="s">
        <v>122</v>
      </c>
      <c r="AC1" s="2" t="s">
        <v>123</v>
      </c>
      <c r="AD1" s="2" t="s">
        <v>124</v>
      </c>
      <c r="AE1" s="2" t="s">
        <v>125</v>
      </c>
      <c r="AF1" s="2" t="s">
        <v>126</v>
      </c>
      <c r="AG1" s="2" t="s">
        <v>127</v>
      </c>
      <c r="AH1" s="2" t="s">
        <v>128</v>
      </c>
      <c r="AI1" s="2" t="s">
        <v>129</v>
      </c>
      <c r="AJ1" s="2" t="s">
        <v>130</v>
      </c>
      <c r="AK1" s="2" t="s">
        <v>131</v>
      </c>
      <c r="AL1" s="2" t="s">
        <v>132</v>
      </c>
      <c r="AM1" s="2" t="s">
        <v>133</v>
      </c>
      <c r="AN1" s="2" t="s">
        <v>134</v>
      </c>
      <c r="AO1" s="2" t="s">
        <v>135</v>
      </c>
      <c r="AP1" s="2" t="s">
        <v>136</v>
      </c>
      <c r="AQ1" s="2" t="s">
        <v>137</v>
      </c>
    </row>
    <row r="2" customFormat="false" ht="15" hidden="false" customHeight="false" outlineLevel="0" collapsed="false">
      <c r="A2" s="7" t="s">
        <v>138</v>
      </c>
      <c r="B2" s="17" t="s">
        <v>139</v>
      </c>
      <c r="C2" s="7" t="str">
        <f aca="false">A2&amp;"|"&amp;B2</f>
        <v>year_yinyang|Yang</v>
      </c>
      <c r="D2" s="17" t="n">
        <v>0</v>
      </c>
      <c r="E2" s="17" t="n">
        <v>0</v>
      </c>
      <c r="F2" s="17" t="n">
        <v>0</v>
      </c>
      <c r="G2" s="17" t="n">
        <v>0</v>
      </c>
      <c r="H2" s="17" t="n">
        <v>0</v>
      </c>
      <c r="I2" s="17" t="n">
        <v>0</v>
      </c>
      <c r="J2" s="17" t="n">
        <v>0</v>
      </c>
      <c r="K2" s="17" t="n">
        <v>0</v>
      </c>
      <c r="L2" s="17" t="n">
        <v>0</v>
      </c>
      <c r="M2" s="17" t="n">
        <v>0</v>
      </c>
      <c r="N2" s="17" t="n">
        <v>0</v>
      </c>
      <c r="O2" s="17" t="n">
        <v>0</v>
      </c>
      <c r="P2" s="17" t="n">
        <v>0</v>
      </c>
      <c r="Q2" s="17" t="n">
        <v>0</v>
      </c>
      <c r="R2" s="17" t="n">
        <v>0</v>
      </c>
      <c r="S2" s="17" t="n">
        <v>0</v>
      </c>
      <c r="T2" s="17" t="n">
        <v>0</v>
      </c>
      <c r="U2" s="17" t="n">
        <v>0</v>
      </c>
      <c r="V2" s="17" t="n">
        <v>0</v>
      </c>
      <c r="W2" s="17" t="n">
        <v>0</v>
      </c>
      <c r="X2" s="17" t="n">
        <v>0</v>
      </c>
      <c r="Y2" s="17" t="n">
        <v>0</v>
      </c>
      <c r="Z2" s="17" t="n">
        <v>0</v>
      </c>
      <c r="AA2" s="17" t="n">
        <v>0</v>
      </c>
      <c r="AB2" s="17" t="n">
        <v>0</v>
      </c>
      <c r="AC2" s="17" t="n">
        <v>0</v>
      </c>
      <c r="AD2" s="17" t="n">
        <v>0</v>
      </c>
      <c r="AE2" s="17" t="n">
        <v>0</v>
      </c>
      <c r="AF2" s="17" t="n">
        <v>0</v>
      </c>
      <c r="AG2" s="17" t="n">
        <v>0</v>
      </c>
      <c r="AH2" s="17" t="n">
        <v>0</v>
      </c>
      <c r="AI2" s="17" t="n">
        <v>0</v>
      </c>
      <c r="AJ2" s="17" t="n">
        <v>0</v>
      </c>
      <c r="AK2" s="17" t="n">
        <v>0</v>
      </c>
      <c r="AL2" s="17" t="n">
        <v>0</v>
      </c>
      <c r="AM2" s="17" t="n">
        <v>0</v>
      </c>
      <c r="AN2" s="17" t="n">
        <v>0</v>
      </c>
      <c r="AO2" s="17" t="n">
        <v>0</v>
      </c>
      <c r="AP2" s="17" t="n">
        <v>0</v>
      </c>
      <c r="AQ2" s="17" t="n">
        <v>0</v>
      </c>
    </row>
    <row r="3" customFormat="false" ht="15" hidden="false" customHeight="false" outlineLevel="0" collapsed="false">
      <c r="A3" s="7" t="s">
        <v>138</v>
      </c>
      <c r="B3" s="17" t="s">
        <v>140</v>
      </c>
      <c r="C3" s="7" t="str">
        <f aca="false">A3&amp;"|"&amp;B3</f>
        <v>year_yinyang|Yin</v>
      </c>
      <c r="D3" s="17" t="n">
        <v>0</v>
      </c>
      <c r="E3" s="17" t="n">
        <v>0</v>
      </c>
      <c r="F3" s="17" t="n">
        <v>0</v>
      </c>
      <c r="G3" s="17" t="n">
        <v>0</v>
      </c>
      <c r="H3" s="17" t="n">
        <v>0</v>
      </c>
      <c r="I3" s="17" t="n">
        <v>0</v>
      </c>
      <c r="J3" s="17" t="n">
        <v>0</v>
      </c>
      <c r="K3" s="17" t="n">
        <v>0</v>
      </c>
      <c r="L3" s="17" t="n">
        <v>0</v>
      </c>
      <c r="M3" s="17" t="n">
        <v>0</v>
      </c>
      <c r="N3" s="17" t="n">
        <v>0</v>
      </c>
      <c r="O3" s="17" t="n">
        <v>0</v>
      </c>
      <c r="P3" s="17" t="n">
        <v>0</v>
      </c>
      <c r="Q3" s="17" t="n">
        <v>0</v>
      </c>
      <c r="R3" s="17" t="n">
        <v>0</v>
      </c>
      <c r="S3" s="17" t="n">
        <v>0</v>
      </c>
      <c r="T3" s="17" t="n">
        <v>0</v>
      </c>
      <c r="U3" s="17" t="n">
        <v>0</v>
      </c>
      <c r="V3" s="17" t="n">
        <v>0</v>
      </c>
      <c r="W3" s="17" t="n">
        <v>0</v>
      </c>
      <c r="X3" s="17" t="n">
        <v>0</v>
      </c>
      <c r="Y3" s="17" t="n">
        <v>0</v>
      </c>
      <c r="Z3" s="17" t="n">
        <v>0</v>
      </c>
      <c r="AA3" s="17" t="n">
        <v>0</v>
      </c>
      <c r="AB3" s="17" t="n">
        <v>0</v>
      </c>
      <c r="AC3" s="17" t="n">
        <v>0</v>
      </c>
      <c r="AD3" s="17" t="n">
        <v>0</v>
      </c>
      <c r="AE3" s="17" t="n">
        <v>0</v>
      </c>
      <c r="AF3" s="17" t="n">
        <v>0</v>
      </c>
      <c r="AG3" s="17" t="n">
        <v>0</v>
      </c>
      <c r="AH3" s="17" t="n">
        <v>0</v>
      </c>
      <c r="AI3" s="17" t="n">
        <v>0</v>
      </c>
      <c r="AJ3" s="17" t="n">
        <v>0</v>
      </c>
      <c r="AK3" s="17" t="n">
        <v>0</v>
      </c>
      <c r="AL3" s="17" t="n">
        <v>0</v>
      </c>
      <c r="AM3" s="17" t="n">
        <v>0</v>
      </c>
      <c r="AN3" s="17" t="n">
        <v>0</v>
      </c>
      <c r="AO3" s="17" t="n">
        <v>0</v>
      </c>
      <c r="AP3" s="17" t="n">
        <v>0</v>
      </c>
      <c r="AQ3" s="17" t="n">
        <v>0</v>
      </c>
    </row>
    <row r="4" customFormat="false" ht="15" hidden="false" customHeight="false" outlineLevel="0" collapsed="false">
      <c r="A4" s="7" t="s">
        <v>141</v>
      </c>
      <c r="B4" s="17" t="s">
        <v>142</v>
      </c>
      <c r="C4" s="7" t="str">
        <f aca="false">A4&amp;"|"&amp;B4</f>
        <v>venus_combust|False</v>
      </c>
      <c r="D4" s="17" t="n">
        <v>0</v>
      </c>
      <c r="E4" s="17" t="n">
        <v>0</v>
      </c>
      <c r="F4" s="17" t="n">
        <v>0</v>
      </c>
      <c r="G4" s="17" t="n">
        <v>0</v>
      </c>
      <c r="H4" s="17" t="n">
        <v>0</v>
      </c>
      <c r="I4" s="17" t="n">
        <v>0</v>
      </c>
      <c r="J4" s="17" t="n">
        <v>0</v>
      </c>
      <c r="K4" s="17" t="n">
        <v>0</v>
      </c>
      <c r="L4" s="17" t="n">
        <v>0</v>
      </c>
      <c r="M4" s="17" t="n">
        <v>0</v>
      </c>
      <c r="N4" s="17" t="n">
        <v>0</v>
      </c>
      <c r="O4" s="17" t="n">
        <v>0</v>
      </c>
      <c r="P4" s="17" t="n">
        <v>0</v>
      </c>
      <c r="Q4" s="17" t="n">
        <v>0</v>
      </c>
      <c r="R4" s="17" t="n">
        <v>0</v>
      </c>
      <c r="S4" s="17" t="n">
        <v>0</v>
      </c>
      <c r="T4" s="17" t="n">
        <v>0</v>
      </c>
      <c r="U4" s="17" t="n">
        <v>0</v>
      </c>
      <c r="V4" s="17" t="n">
        <v>0</v>
      </c>
      <c r="W4" s="17" t="n">
        <v>0</v>
      </c>
      <c r="X4" s="17" t="n">
        <v>0</v>
      </c>
      <c r="Y4" s="17" t="n">
        <v>0</v>
      </c>
      <c r="Z4" s="17" t="n">
        <v>0</v>
      </c>
      <c r="AA4" s="17" t="n">
        <v>0</v>
      </c>
      <c r="AB4" s="17" t="n">
        <v>0</v>
      </c>
      <c r="AC4" s="17" t="n">
        <v>0</v>
      </c>
      <c r="AD4" s="17" t="n">
        <v>0</v>
      </c>
      <c r="AE4" s="17" t="n">
        <v>0</v>
      </c>
      <c r="AF4" s="17" t="n">
        <v>0</v>
      </c>
      <c r="AG4" s="17" t="n">
        <v>0</v>
      </c>
      <c r="AH4" s="17" t="n">
        <v>0</v>
      </c>
      <c r="AI4" s="17" t="n">
        <v>0</v>
      </c>
      <c r="AJ4" s="17" t="n">
        <v>0</v>
      </c>
      <c r="AK4" s="17" t="n">
        <v>0</v>
      </c>
      <c r="AL4" s="17" t="n">
        <v>0</v>
      </c>
      <c r="AM4" s="17" t="n">
        <v>0</v>
      </c>
      <c r="AN4" s="17" t="n">
        <v>0</v>
      </c>
      <c r="AO4" s="17" t="n">
        <v>0</v>
      </c>
      <c r="AP4" s="17" t="n">
        <v>0</v>
      </c>
      <c r="AQ4" s="17" t="n">
        <v>0</v>
      </c>
    </row>
    <row r="5" customFormat="false" ht="15" hidden="false" customHeight="false" outlineLevel="0" collapsed="false">
      <c r="A5" s="7" t="s">
        <v>141</v>
      </c>
      <c r="B5" s="17" t="s">
        <v>143</v>
      </c>
      <c r="C5" s="7" t="str">
        <f aca="false">A5&amp;"|"&amp;B5</f>
        <v>venus_combust|True</v>
      </c>
      <c r="D5" s="17" t="n">
        <v>0</v>
      </c>
      <c r="E5" s="17" t="n">
        <v>-1</v>
      </c>
      <c r="F5" s="17" t="n">
        <v>0</v>
      </c>
      <c r="G5" s="17" t="n">
        <v>0</v>
      </c>
      <c r="H5" s="17" t="n">
        <v>0</v>
      </c>
      <c r="I5" s="17" t="n">
        <v>0</v>
      </c>
      <c r="J5" s="17" t="n">
        <v>0</v>
      </c>
      <c r="K5" s="17" t="n">
        <v>0</v>
      </c>
      <c r="L5" s="17" t="n">
        <v>0</v>
      </c>
      <c r="M5" s="17" t="n">
        <v>1</v>
      </c>
      <c r="N5" s="17" t="n">
        <v>0</v>
      </c>
      <c r="O5" s="17" t="n">
        <v>0</v>
      </c>
      <c r="P5" s="17" t="n">
        <v>0</v>
      </c>
      <c r="Q5" s="17" t="n">
        <v>0</v>
      </c>
      <c r="R5" s="17" t="n">
        <v>0</v>
      </c>
      <c r="S5" s="17" t="n">
        <v>1</v>
      </c>
      <c r="T5" s="17" t="n">
        <v>0</v>
      </c>
      <c r="U5" s="17" t="n">
        <v>0</v>
      </c>
      <c r="V5" s="17" t="n">
        <v>0</v>
      </c>
      <c r="W5" s="17" t="n">
        <v>0</v>
      </c>
      <c r="X5" s="17" t="n">
        <v>1</v>
      </c>
      <c r="Y5" s="17" t="n">
        <v>0</v>
      </c>
      <c r="Z5" s="17" t="n">
        <v>0</v>
      </c>
      <c r="AA5" s="17" t="n">
        <v>0</v>
      </c>
      <c r="AB5" s="17" t="n">
        <v>0</v>
      </c>
      <c r="AC5" s="17" t="n">
        <v>0</v>
      </c>
      <c r="AD5" s="17" t="n">
        <v>0</v>
      </c>
      <c r="AE5" s="17" t="n">
        <v>0</v>
      </c>
      <c r="AF5" s="17" t="n">
        <v>0</v>
      </c>
      <c r="AG5" s="17" t="n">
        <v>0</v>
      </c>
      <c r="AH5" s="17" t="n">
        <v>0</v>
      </c>
      <c r="AI5" s="17" t="n">
        <v>0</v>
      </c>
      <c r="AJ5" s="17" t="n">
        <v>0</v>
      </c>
      <c r="AK5" s="17" t="n">
        <v>0</v>
      </c>
      <c r="AL5" s="17" t="n">
        <v>0</v>
      </c>
      <c r="AM5" s="17" t="n">
        <v>0</v>
      </c>
      <c r="AN5" s="17" t="n">
        <v>0</v>
      </c>
      <c r="AO5" s="17" t="n">
        <v>0</v>
      </c>
      <c r="AP5" s="17" t="n">
        <v>-1</v>
      </c>
      <c r="AQ5" s="17" t="n">
        <v>0</v>
      </c>
    </row>
    <row r="6" customFormat="false" ht="15" hidden="false" customHeight="false" outlineLevel="0" collapsed="false">
      <c r="A6" s="7" t="s">
        <v>144</v>
      </c>
      <c r="B6" s="17" t="s">
        <v>142</v>
      </c>
      <c r="C6" s="7" t="str">
        <f aca="false">A6&amp;"|"&amp;B6</f>
        <v>jupiter_combust|False</v>
      </c>
      <c r="D6" s="17" t="n">
        <v>0</v>
      </c>
      <c r="E6" s="17" t="n">
        <v>0</v>
      </c>
      <c r="F6" s="17" t="n">
        <v>0</v>
      </c>
      <c r="G6" s="17" t="n">
        <v>0</v>
      </c>
      <c r="H6" s="17" t="n">
        <v>0</v>
      </c>
      <c r="I6" s="17" t="n">
        <v>0</v>
      </c>
      <c r="J6" s="17" t="n">
        <v>0</v>
      </c>
      <c r="K6" s="17" t="n">
        <v>0</v>
      </c>
      <c r="L6" s="17" t="n">
        <v>0</v>
      </c>
      <c r="M6" s="17" t="n">
        <v>0</v>
      </c>
      <c r="N6" s="17" t="n">
        <v>0</v>
      </c>
      <c r="O6" s="17" t="n">
        <v>0</v>
      </c>
      <c r="P6" s="17" t="n">
        <v>0</v>
      </c>
      <c r="Q6" s="17" t="n">
        <v>0</v>
      </c>
      <c r="R6" s="17" t="n">
        <v>0</v>
      </c>
      <c r="S6" s="17" t="n">
        <v>0</v>
      </c>
      <c r="T6" s="17" t="n">
        <v>0</v>
      </c>
      <c r="U6" s="17" t="n">
        <v>0</v>
      </c>
      <c r="V6" s="17" t="n">
        <v>0</v>
      </c>
      <c r="W6" s="17" t="n">
        <v>0</v>
      </c>
      <c r="X6" s="17" t="n">
        <v>0</v>
      </c>
      <c r="Y6" s="17" t="n">
        <v>0</v>
      </c>
      <c r="Z6" s="17" t="n">
        <v>0</v>
      </c>
      <c r="AA6" s="17" t="n">
        <v>0</v>
      </c>
      <c r="AB6" s="17" t="n">
        <v>0</v>
      </c>
      <c r="AC6" s="17" t="n">
        <v>0</v>
      </c>
      <c r="AD6" s="17" t="n">
        <v>0</v>
      </c>
      <c r="AE6" s="17" t="n">
        <v>0</v>
      </c>
      <c r="AF6" s="17" t="n">
        <v>0</v>
      </c>
      <c r="AG6" s="17" t="n">
        <v>0</v>
      </c>
      <c r="AH6" s="17" t="n">
        <v>0</v>
      </c>
      <c r="AI6" s="17" t="n">
        <v>0</v>
      </c>
      <c r="AJ6" s="17" t="n">
        <v>0</v>
      </c>
      <c r="AK6" s="17" t="n">
        <v>0</v>
      </c>
      <c r="AL6" s="17" t="n">
        <v>0</v>
      </c>
      <c r="AM6" s="17" t="n">
        <v>0</v>
      </c>
      <c r="AN6" s="17" t="n">
        <v>0</v>
      </c>
      <c r="AO6" s="17" t="n">
        <v>0</v>
      </c>
      <c r="AP6" s="17" t="n">
        <v>0</v>
      </c>
      <c r="AQ6" s="17" t="n">
        <v>0</v>
      </c>
    </row>
    <row r="7" customFormat="false" ht="15" hidden="false" customHeight="false" outlineLevel="0" collapsed="false">
      <c r="A7" s="7" t="s">
        <v>144</v>
      </c>
      <c r="B7" s="17" t="s">
        <v>143</v>
      </c>
      <c r="C7" s="7" t="str">
        <f aca="false">A7&amp;"|"&amp;B7</f>
        <v>jupiter_combust|True</v>
      </c>
      <c r="D7" s="17" t="n">
        <v>1</v>
      </c>
      <c r="E7" s="17" t="n">
        <v>1</v>
      </c>
      <c r="F7" s="17" t="n">
        <v>1</v>
      </c>
      <c r="G7" s="17" t="n">
        <v>0</v>
      </c>
      <c r="H7" s="17" t="n">
        <v>-1</v>
      </c>
      <c r="I7" s="17" t="n">
        <v>0</v>
      </c>
      <c r="J7" s="17" t="n">
        <v>-1</v>
      </c>
      <c r="K7" s="17" t="n">
        <v>1</v>
      </c>
      <c r="L7" s="17" t="n">
        <v>-1</v>
      </c>
      <c r="M7" s="17" t="n">
        <v>0</v>
      </c>
      <c r="N7" s="17" t="n">
        <v>1</v>
      </c>
      <c r="O7" s="17" t="n">
        <v>0</v>
      </c>
      <c r="P7" s="17" t="n">
        <v>0</v>
      </c>
      <c r="Q7" s="17" t="n">
        <v>0</v>
      </c>
      <c r="R7" s="17" t="n">
        <v>0</v>
      </c>
      <c r="S7" s="17" t="n">
        <v>0</v>
      </c>
      <c r="T7" s="17" t="n">
        <v>0</v>
      </c>
      <c r="U7" s="17" t="n">
        <v>0</v>
      </c>
      <c r="V7" s="17" t="n">
        <v>0</v>
      </c>
      <c r="W7" s="17" t="n">
        <v>1</v>
      </c>
      <c r="X7" s="17" t="n">
        <v>0</v>
      </c>
      <c r="Y7" s="17" t="n">
        <v>0</v>
      </c>
      <c r="Z7" s="17" t="n">
        <v>0</v>
      </c>
      <c r="AA7" s="17" t="n">
        <v>0</v>
      </c>
      <c r="AB7" s="17" t="n">
        <v>0</v>
      </c>
      <c r="AC7" s="17" t="n">
        <v>-1</v>
      </c>
      <c r="AD7" s="17" t="n">
        <v>0</v>
      </c>
      <c r="AE7" s="17" t="n">
        <v>0</v>
      </c>
      <c r="AF7" s="17" t="n">
        <v>1</v>
      </c>
      <c r="AG7" s="17" t="n">
        <v>1</v>
      </c>
      <c r="AH7" s="17" t="n">
        <v>0</v>
      </c>
      <c r="AI7" s="17" t="n">
        <v>-1</v>
      </c>
      <c r="AJ7" s="17" t="n">
        <v>0</v>
      </c>
      <c r="AK7" s="17" t="n">
        <v>0</v>
      </c>
      <c r="AL7" s="17" t="n">
        <v>0</v>
      </c>
      <c r="AM7" s="17" t="n">
        <v>0</v>
      </c>
      <c r="AN7" s="17" t="n">
        <v>0</v>
      </c>
      <c r="AO7" s="17" t="n">
        <v>0</v>
      </c>
      <c r="AP7" s="17" t="n">
        <v>0</v>
      </c>
      <c r="AQ7" s="17" t="n">
        <v>0</v>
      </c>
    </row>
    <row r="8" customFormat="false" ht="15" hidden="false" customHeight="false" outlineLevel="0" collapsed="false">
      <c r="A8" s="7" t="s">
        <v>145</v>
      </c>
      <c r="B8" s="17" t="s">
        <v>146</v>
      </c>
      <c r="C8" s="7" t="str">
        <f aca="false">A8&amp;"|"&amp;B8</f>
        <v>masa|Ashadha</v>
      </c>
      <c r="D8" s="17" t="n">
        <v>0</v>
      </c>
      <c r="E8" s="17" t="n">
        <v>0</v>
      </c>
      <c r="F8" s="17" t="n">
        <v>0</v>
      </c>
      <c r="G8" s="17" t="n">
        <v>0</v>
      </c>
      <c r="H8" s="17" t="n">
        <v>0</v>
      </c>
      <c r="I8" s="17" t="n">
        <v>0</v>
      </c>
      <c r="J8" s="17" t="n">
        <v>0</v>
      </c>
      <c r="K8" s="17" t="n">
        <v>0</v>
      </c>
      <c r="L8" s="17" t="n">
        <v>0</v>
      </c>
      <c r="M8" s="17" t="n">
        <v>0</v>
      </c>
      <c r="N8" s="17" t="n">
        <v>0</v>
      </c>
      <c r="O8" s="17" t="n">
        <v>0</v>
      </c>
      <c r="P8" s="17" t="n">
        <v>0</v>
      </c>
      <c r="Q8" s="17" t="n">
        <v>0</v>
      </c>
      <c r="R8" s="17" t="n">
        <v>0</v>
      </c>
      <c r="S8" s="17" t="n">
        <v>0</v>
      </c>
      <c r="T8" s="17" t="n">
        <v>0</v>
      </c>
      <c r="U8" s="17" t="n">
        <v>0</v>
      </c>
      <c r="V8" s="17" t="n">
        <v>0</v>
      </c>
      <c r="W8" s="17" t="n">
        <v>0</v>
      </c>
      <c r="X8" s="17" t="n">
        <v>0</v>
      </c>
      <c r="Y8" s="17" t="n">
        <v>0</v>
      </c>
      <c r="Z8" s="17" t="n">
        <v>0</v>
      </c>
      <c r="AA8" s="17" t="n">
        <v>0</v>
      </c>
      <c r="AB8" s="17" t="n">
        <v>0</v>
      </c>
      <c r="AC8" s="17" t="n">
        <v>0</v>
      </c>
      <c r="AD8" s="17" t="n">
        <v>0</v>
      </c>
      <c r="AE8" s="17" t="n">
        <v>0</v>
      </c>
      <c r="AF8" s="17" t="n">
        <v>0</v>
      </c>
      <c r="AG8" s="17" t="n">
        <v>0</v>
      </c>
      <c r="AH8" s="17" t="n">
        <v>0</v>
      </c>
      <c r="AI8" s="17" t="n">
        <v>0</v>
      </c>
      <c r="AJ8" s="17" t="n">
        <v>0</v>
      </c>
      <c r="AK8" s="17" t="n">
        <v>0</v>
      </c>
      <c r="AL8" s="17" t="n">
        <v>0</v>
      </c>
      <c r="AM8" s="17" t="n">
        <v>0</v>
      </c>
      <c r="AN8" s="17" t="n">
        <v>0</v>
      </c>
      <c r="AO8" s="17" t="n">
        <v>0</v>
      </c>
      <c r="AP8" s="17" t="n">
        <v>0</v>
      </c>
      <c r="AQ8" s="17" t="n">
        <v>0</v>
      </c>
    </row>
    <row r="9" customFormat="false" ht="15" hidden="false" customHeight="false" outlineLevel="0" collapsed="false">
      <c r="A9" s="7" t="s">
        <v>145</v>
      </c>
      <c r="B9" s="17" t="s">
        <v>147</v>
      </c>
      <c r="C9" s="7" t="str">
        <f aca="false">A9&amp;"|"&amp;B9</f>
        <v>masa|Ashvin</v>
      </c>
      <c r="D9" s="17" t="n">
        <v>0</v>
      </c>
      <c r="E9" s="17" t="n">
        <v>0</v>
      </c>
      <c r="F9" s="17" t="n">
        <v>0</v>
      </c>
      <c r="G9" s="17" t="n">
        <v>0</v>
      </c>
      <c r="H9" s="17" t="n">
        <v>0</v>
      </c>
      <c r="I9" s="17" t="n">
        <v>0</v>
      </c>
      <c r="J9" s="17" t="n">
        <v>0</v>
      </c>
      <c r="K9" s="17" t="n">
        <v>0</v>
      </c>
      <c r="L9" s="17" t="n">
        <v>0</v>
      </c>
      <c r="M9" s="17" t="n">
        <v>0</v>
      </c>
      <c r="N9" s="17" t="n">
        <v>0</v>
      </c>
      <c r="O9" s="17" t="n">
        <v>0</v>
      </c>
      <c r="P9" s="17" t="n">
        <v>0</v>
      </c>
      <c r="Q9" s="17" t="n">
        <v>0</v>
      </c>
      <c r="R9" s="17" t="n">
        <v>0</v>
      </c>
      <c r="S9" s="17" t="n">
        <v>0</v>
      </c>
      <c r="T9" s="17" t="n">
        <v>0</v>
      </c>
      <c r="U9" s="17" t="n">
        <v>0</v>
      </c>
      <c r="V9" s="17" t="n">
        <v>0</v>
      </c>
      <c r="W9" s="17" t="n">
        <v>0</v>
      </c>
      <c r="X9" s="17" t="n">
        <v>0</v>
      </c>
      <c r="Y9" s="17" t="n">
        <v>0</v>
      </c>
      <c r="Z9" s="17" t="n">
        <v>0</v>
      </c>
      <c r="AA9" s="17" t="n">
        <v>0</v>
      </c>
      <c r="AB9" s="17" t="n">
        <v>0</v>
      </c>
      <c r="AC9" s="17" t="n">
        <v>0</v>
      </c>
      <c r="AD9" s="17" t="n">
        <v>0</v>
      </c>
      <c r="AE9" s="17" t="n">
        <v>0</v>
      </c>
      <c r="AF9" s="17" t="n">
        <v>0</v>
      </c>
      <c r="AG9" s="17" t="n">
        <v>0</v>
      </c>
      <c r="AH9" s="17" t="n">
        <v>0</v>
      </c>
      <c r="AI9" s="17" t="n">
        <v>0</v>
      </c>
      <c r="AJ9" s="17" t="n">
        <v>0</v>
      </c>
      <c r="AK9" s="17" t="n">
        <v>0</v>
      </c>
      <c r="AL9" s="17" t="n">
        <v>0</v>
      </c>
      <c r="AM9" s="17" t="n">
        <v>0</v>
      </c>
      <c r="AN9" s="17" t="n">
        <v>0</v>
      </c>
      <c r="AO9" s="17" t="n">
        <v>0</v>
      </c>
      <c r="AP9" s="17" t="n">
        <v>0</v>
      </c>
      <c r="AQ9" s="17" t="n">
        <v>0</v>
      </c>
    </row>
    <row r="10" customFormat="false" ht="15" hidden="false" customHeight="false" outlineLevel="0" collapsed="false">
      <c r="A10" s="7" t="s">
        <v>145</v>
      </c>
      <c r="B10" s="17" t="s">
        <v>148</v>
      </c>
      <c r="C10" s="7" t="str">
        <f aca="false">A10&amp;"|"&amp;B10</f>
        <v>masa|Bhadrapada</v>
      </c>
      <c r="D10" s="17" t="n">
        <v>0</v>
      </c>
      <c r="E10" s="17" t="n">
        <v>0</v>
      </c>
      <c r="F10" s="17" t="n">
        <v>0</v>
      </c>
      <c r="G10" s="17" t="n">
        <v>0</v>
      </c>
      <c r="H10" s="17" t="n">
        <v>0</v>
      </c>
      <c r="I10" s="17" t="n">
        <v>0</v>
      </c>
      <c r="J10" s="17" t="n">
        <v>0</v>
      </c>
      <c r="K10" s="17" t="n">
        <v>0</v>
      </c>
      <c r="L10" s="17" t="n">
        <v>0</v>
      </c>
      <c r="M10" s="17" t="n">
        <v>0</v>
      </c>
      <c r="N10" s="17" t="n">
        <v>0</v>
      </c>
      <c r="O10" s="17" t="n">
        <v>0</v>
      </c>
      <c r="P10" s="17" t="n">
        <v>0</v>
      </c>
      <c r="Q10" s="17" t="n">
        <v>0</v>
      </c>
      <c r="R10" s="17" t="n">
        <v>0</v>
      </c>
      <c r="S10" s="17" t="n">
        <v>0</v>
      </c>
      <c r="T10" s="17" t="n">
        <v>0</v>
      </c>
      <c r="U10" s="17" t="n">
        <v>0</v>
      </c>
      <c r="V10" s="17" t="n">
        <v>0</v>
      </c>
      <c r="W10" s="17" t="n">
        <v>0</v>
      </c>
      <c r="X10" s="17" t="n">
        <v>0</v>
      </c>
      <c r="Y10" s="17" t="n">
        <v>0</v>
      </c>
      <c r="Z10" s="17" t="n">
        <v>0</v>
      </c>
      <c r="AA10" s="17" t="n">
        <v>0</v>
      </c>
      <c r="AB10" s="17" t="n">
        <v>0</v>
      </c>
      <c r="AC10" s="17" t="n">
        <v>0</v>
      </c>
      <c r="AD10" s="17" t="n">
        <v>0</v>
      </c>
      <c r="AE10" s="17" t="n">
        <v>0</v>
      </c>
      <c r="AF10" s="17" t="n">
        <v>0</v>
      </c>
      <c r="AG10" s="17" t="n">
        <v>0</v>
      </c>
      <c r="AH10" s="17" t="n">
        <v>0</v>
      </c>
      <c r="AI10" s="17" t="n">
        <v>0</v>
      </c>
      <c r="AJ10" s="17" t="n">
        <v>0</v>
      </c>
      <c r="AK10" s="17" t="n">
        <v>0</v>
      </c>
      <c r="AL10" s="17" t="n">
        <v>0</v>
      </c>
      <c r="AM10" s="17" t="n">
        <v>0</v>
      </c>
      <c r="AN10" s="17" t="n">
        <v>0</v>
      </c>
      <c r="AO10" s="17" t="n">
        <v>0</v>
      </c>
      <c r="AP10" s="17" t="n">
        <v>0</v>
      </c>
      <c r="AQ10" s="17" t="n">
        <v>0</v>
      </c>
    </row>
    <row r="11" customFormat="false" ht="15" hidden="false" customHeight="false" outlineLevel="0" collapsed="false">
      <c r="A11" s="7" t="s">
        <v>145</v>
      </c>
      <c r="B11" s="17" t="s">
        <v>149</v>
      </c>
      <c r="C11" s="7" t="str">
        <f aca="false">A11&amp;"|"&amp;B11</f>
        <v>masa|Chaitra</v>
      </c>
      <c r="D11" s="17" t="n">
        <v>0</v>
      </c>
      <c r="E11" s="17" t="n">
        <v>0</v>
      </c>
      <c r="F11" s="17" t="n">
        <v>0</v>
      </c>
      <c r="G11" s="17" t="n">
        <v>0</v>
      </c>
      <c r="H11" s="17" t="n">
        <v>0</v>
      </c>
      <c r="I11" s="17" t="n">
        <v>0</v>
      </c>
      <c r="J11" s="17" t="n">
        <v>0</v>
      </c>
      <c r="K11" s="17" t="n">
        <v>0</v>
      </c>
      <c r="L11" s="17" t="n">
        <v>0</v>
      </c>
      <c r="M11" s="17" t="n">
        <v>0</v>
      </c>
      <c r="N11" s="17" t="n">
        <v>0</v>
      </c>
      <c r="O11" s="17" t="n">
        <v>0</v>
      </c>
      <c r="P11" s="17" t="n">
        <v>0</v>
      </c>
      <c r="Q11" s="17" t="n">
        <v>0</v>
      </c>
      <c r="R11" s="17" t="n">
        <v>0</v>
      </c>
      <c r="S11" s="17" t="n">
        <v>0</v>
      </c>
      <c r="T11" s="17" t="n">
        <v>0</v>
      </c>
      <c r="U11" s="17" t="n">
        <v>0</v>
      </c>
      <c r="V11" s="17" t="n">
        <v>0</v>
      </c>
      <c r="W11" s="17" t="n">
        <v>0</v>
      </c>
      <c r="X11" s="17" t="n">
        <v>0</v>
      </c>
      <c r="Y11" s="17" t="n">
        <v>0</v>
      </c>
      <c r="Z11" s="17" t="n">
        <v>0</v>
      </c>
      <c r="AA11" s="17" t="n">
        <v>0</v>
      </c>
      <c r="AB11" s="17" t="n">
        <v>0</v>
      </c>
      <c r="AC11" s="17" t="n">
        <v>0</v>
      </c>
      <c r="AD11" s="17" t="n">
        <v>0</v>
      </c>
      <c r="AE11" s="17" t="n">
        <v>0</v>
      </c>
      <c r="AF11" s="17" t="n">
        <v>0</v>
      </c>
      <c r="AG11" s="17" t="n">
        <v>0</v>
      </c>
      <c r="AH11" s="17" t="n">
        <v>0</v>
      </c>
      <c r="AI11" s="17" t="n">
        <v>0</v>
      </c>
      <c r="AJ11" s="17" t="n">
        <v>0</v>
      </c>
      <c r="AK11" s="17" t="n">
        <v>0</v>
      </c>
      <c r="AL11" s="17" t="n">
        <v>0</v>
      </c>
      <c r="AM11" s="17" t="n">
        <v>0</v>
      </c>
      <c r="AN11" s="17" t="n">
        <v>0</v>
      </c>
      <c r="AO11" s="17" t="n">
        <v>0</v>
      </c>
      <c r="AP11" s="17" t="n">
        <v>0</v>
      </c>
      <c r="AQ11" s="17" t="n">
        <v>0</v>
      </c>
    </row>
    <row r="12" customFormat="false" ht="15" hidden="false" customHeight="false" outlineLevel="0" collapsed="false">
      <c r="A12" s="7" t="s">
        <v>145</v>
      </c>
      <c r="B12" s="17" t="s">
        <v>150</v>
      </c>
      <c r="C12" s="7" t="str">
        <f aca="false">A12&amp;"|"&amp;B12</f>
        <v>masa|Jyeshtha</v>
      </c>
      <c r="D12" s="17" t="n">
        <v>0</v>
      </c>
      <c r="E12" s="17" t="n">
        <v>0</v>
      </c>
      <c r="F12" s="17" t="n">
        <v>0</v>
      </c>
      <c r="G12" s="17" t="n">
        <v>0</v>
      </c>
      <c r="H12" s="17" t="n">
        <v>0</v>
      </c>
      <c r="I12" s="17" t="n">
        <v>0</v>
      </c>
      <c r="J12" s="17" t="n">
        <v>0</v>
      </c>
      <c r="K12" s="17" t="n">
        <v>0</v>
      </c>
      <c r="L12" s="17" t="n">
        <v>0</v>
      </c>
      <c r="M12" s="17" t="n">
        <v>0</v>
      </c>
      <c r="N12" s="17" t="n">
        <v>0</v>
      </c>
      <c r="O12" s="17" t="n">
        <v>0</v>
      </c>
      <c r="P12" s="17" t="n">
        <v>0</v>
      </c>
      <c r="Q12" s="17" t="n">
        <v>0</v>
      </c>
      <c r="R12" s="17" t="n">
        <v>0</v>
      </c>
      <c r="S12" s="17" t="n">
        <v>0</v>
      </c>
      <c r="T12" s="17" t="n">
        <v>0</v>
      </c>
      <c r="U12" s="17" t="n">
        <v>0</v>
      </c>
      <c r="V12" s="17" t="n">
        <v>0</v>
      </c>
      <c r="W12" s="17" t="n">
        <v>0</v>
      </c>
      <c r="X12" s="17" t="n">
        <v>0</v>
      </c>
      <c r="Y12" s="17" t="n">
        <v>0</v>
      </c>
      <c r="Z12" s="17" t="n">
        <v>0</v>
      </c>
      <c r="AA12" s="17" t="n">
        <v>0</v>
      </c>
      <c r="AB12" s="17" t="n">
        <v>0</v>
      </c>
      <c r="AC12" s="17" t="n">
        <v>0</v>
      </c>
      <c r="AD12" s="17" t="n">
        <v>0</v>
      </c>
      <c r="AE12" s="17" t="n">
        <v>0</v>
      </c>
      <c r="AF12" s="17" t="n">
        <v>0</v>
      </c>
      <c r="AG12" s="17" t="n">
        <v>0</v>
      </c>
      <c r="AH12" s="17" t="n">
        <v>0</v>
      </c>
      <c r="AI12" s="17" t="n">
        <v>0</v>
      </c>
      <c r="AJ12" s="17" t="n">
        <v>0</v>
      </c>
      <c r="AK12" s="17" t="n">
        <v>0</v>
      </c>
      <c r="AL12" s="17" t="n">
        <v>0</v>
      </c>
      <c r="AM12" s="17" t="n">
        <v>0</v>
      </c>
      <c r="AN12" s="17" t="n">
        <v>0</v>
      </c>
      <c r="AO12" s="17" t="n">
        <v>0</v>
      </c>
      <c r="AP12" s="17" t="n">
        <v>0</v>
      </c>
      <c r="AQ12" s="17" t="n">
        <v>0</v>
      </c>
    </row>
    <row r="13" customFormat="false" ht="15" hidden="false" customHeight="false" outlineLevel="0" collapsed="false">
      <c r="A13" s="7" t="s">
        <v>145</v>
      </c>
      <c r="B13" s="17" t="s">
        <v>151</v>
      </c>
      <c r="C13" s="7" t="str">
        <f aca="false">A13&amp;"|"&amp;B13</f>
        <v>masa|Kartika</v>
      </c>
      <c r="D13" s="17" t="n">
        <v>0</v>
      </c>
      <c r="E13" s="17" t="n">
        <v>0</v>
      </c>
      <c r="F13" s="17" t="n">
        <v>0</v>
      </c>
      <c r="G13" s="17" t="n">
        <v>0</v>
      </c>
      <c r="H13" s="17" t="n">
        <v>0</v>
      </c>
      <c r="I13" s="17" t="n">
        <v>0</v>
      </c>
      <c r="J13" s="17" t="n">
        <v>0</v>
      </c>
      <c r="K13" s="17" t="n">
        <v>0</v>
      </c>
      <c r="L13" s="17" t="n">
        <v>0</v>
      </c>
      <c r="M13" s="17" t="n">
        <v>0</v>
      </c>
      <c r="N13" s="17" t="n">
        <v>0</v>
      </c>
      <c r="O13" s="17" t="n">
        <v>0</v>
      </c>
      <c r="P13" s="17" t="n">
        <v>0</v>
      </c>
      <c r="Q13" s="17" t="n">
        <v>0</v>
      </c>
      <c r="R13" s="17" t="n">
        <v>0</v>
      </c>
      <c r="S13" s="17" t="n">
        <v>0</v>
      </c>
      <c r="T13" s="17" t="n">
        <v>0</v>
      </c>
      <c r="U13" s="17" t="n">
        <v>0</v>
      </c>
      <c r="V13" s="17" t="n">
        <v>0</v>
      </c>
      <c r="W13" s="17" t="n">
        <v>0</v>
      </c>
      <c r="X13" s="17" t="n">
        <v>0</v>
      </c>
      <c r="Y13" s="17" t="n">
        <v>0</v>
      </c>
      <c r="Z13" s="17" t="n">
        <v>0</v>
      </c>
      <c r="AA13" s="17" t="n">
        <v>0</v>
      </c>
      <c r="AB13" s="17" t="n">
        <v>0</v>
      </c>
      <c r="AC13" s="17" t="n">
        <v>0</v>
      </c>
      <c r="AD13" s="17" t="n">
        <v>0</v>
      </c>
      <c r="AE13" s="17" t="n">
        <v>0</v>
      </c>
      <c r="AF13" s="17" t="n">
        <v>0</v>
      </c>
      <c r="AG13" s="17" t="n">
        <v>0</v>
      </c>
      <c r="AH13" s="17" t="n">
        <v>0</v>
      </c>
      <c r="AI13" s="17" t="n">
        <v>0</v>
      </c>
      <c r="AJ13" s="17" t="n">
        <v>0</v>
      </c>
      <c r="AK13" s="17" t="n">
        <v>0</v>
      </c>
      <c r="AL13" s="17" t="n">
        <v>0</v>
      </c>
      <c r="AM13" s="17" t="n">
        <v>0</v>
      </c>
      <c r="AN13" s="17" t="n">
        <v>0</v>
      </c>
      <c r="AO13" s="17" t="n">
        <v>0</v>
      </c>
      <c r="AP13" s="17" t="n">
        <v>0</v>
      </c>
      <c r="AQ13" s="17" t="n">
        <v>0</v>
      </c>
    </row>
    <row r="14" customFormat="false" ht="15" hidden="false" customHeight="false" outlineLevel="0" collapsed="false">
      <c r="A14" s="7" t="s">
        <v>145</v>
      </c>
      <c r="B14" s="17" t="s">
        <v>152</v>
      </c>
      <c r="C14" s="7" t="str">
        <f aca="false">A14&amp;"|"&amp;B14</f>
        <v>masa|Magha</v>
      </c>
      <c r="D14" s="17" t="n">
        <v>0</v>
      </c>
      <c r="E14" s="17" t="n">
        <v>0</v>
      </c>
      <c r="F14" s="17" t="n">
        <v>0</v>
      </c>
      <c r="G14" s="17" t="n">
        <v>0</v>
      </c>
      <c r="H14" s="17" t="n">
        <v>0</v>
      </c>
      <c r="I14" s="17" t="n">
        <v>0</v>
      </c>
      <c r="J14" s="17" t="n">
        <v>0</v>
      </c>
      <c r="K14" s="17" t="n">
        <v>0</v>
      </c>
      <c r="L14" s="17" t="n">
        <v>0</v>
      </c>
      <c r="M14" s="17" t="n">
        <v>0</v>
      </c>
      <c r="N14" s="17" t="n">
        <v>0</v>
      </c>
      <c r="O14" s="17" t="n">
        <v>0</v>
      </c>
      <c r="P14" s="17" t="n">
        <v>0</v>
      </c>
      <c r="Q14" s="17" t="n">
        <v>0</v>
      </c>
      <c r="R14" s="17" t="n">
        <v>0</v>
      </c>
      <c r="S14" s="17" t="n">
        <v>0</v>
      </c>
      <c r="T14" s="17" t="n">
        <v>0</v>
      </c>
      <c r="U14" s="17" t="n">
        <v>0</v>
      </c>
      <c r="V14" s="17" t="n">
        <v>0</v>
      </c>
      <c r="W14" s="17" t="n">
        <v>0</v>
      </c>
      <c r="X14" s="17" t="n">
        <v>0</v>
      </c>
      <c r="Y14" s="17" t="n">
        <v>0</v>
      </c>
      <c r="Z14" s="17" t="n">
        <v>0</v>
      </c>
      <c r="AA14" s="17" t="n">
        <v>0</v>
      </c>
      <c r="AB14" s="17" t="n">
        <v>0</v>
      </c>
      <c r="AC14" s="17" t="n">
        <v>0</v>
      </c>
      <c r="AD14" s="17" t="n">
        <v>0</v>
      </c>
      <c r="AE14" s="17" t="n">
        <v>0</v>
      </c>
      <c r="AF14" s="17" t="n">
        <v>0</v>
      </c>
      <c r="AG14" s="17" t="n">
        <v>0</v>
      </c>
      <c r="AH14" s="17" t="n">
        <v>0</v>
      </c>
      <c r="AI14" s="17" t="n">
        <v>0</v>
      </c>
      <c r="AJ14" s="17" t="n">
        <v>0</v>
      </c>
      <c r="AK14" s="17" t="n">
        <v>0</v>
      </c>
      <c r="AL14" s="17" t="n">
        <v>0</v>
      </c>
      <c r="AM14" s="17" t="n">
        <v>0</v>
      </c>
      <c r="AN14" s="17" t="n">
        <v>0</v>
      </c>
      <c r="AO14" s="17" t="n">
        <v>0</v>
      </c>
      <c r="AP14" s="17" t="n">
        <v>0</v>
      </c>
      <c r="AQ14" s="17" t="n">
        <v>0</v>
      </c>
    </row>
    <row r="15" customFormat="false" ht="15" hidden="false" customHeight="false" outlineLevel="0" collapsed="false">
      <c r="A15" s="7" t="s">
        <v>145</v>
      </c>
      <c r="B15" s="17" t="s">
        <v>153</v>
      </c>
      <c r="C15" s="7" t="str">
        <f aca="false">A15&amp;"|"&amp;B15</f>
        <v>masa|Margashirsha</v>
      </c>
      <c r="D15" s="17" t="n">
        <v>0</v>
      </c>
      <c r="E15" s="17" t="n">
        <v>0</v>
      </c>
      <c r="F15" s="17" t="n">
        <v>0</v>
      </c>
      <c r="G15" s="17" t="n">
        <v>0</v>
      </c>
      <c r="H15" s="17" t="n">
        <v>0</v>
      </c>
      <c r="I15" s="17" t="n">
        <v>0</v>
      </c>
      <c r="J15" s="17" t="n">
        <v>0</v>
      </c>
      <c r="K15" s="17" t="n">
        <v>0</v>
      </c>
      <c r="L15" s="17" t="n">
        <v>0</v>
      </c>
      <c r="M15" s="17" t="n">
        <v>0</v>
      </c>
      <c r="N15" s="17" t="n">
        <v>0</v>
      </c>
      <c r="O15" s="17" t="n">
        <v>0</v>
      </c>
      <c r="P15" s="17" t="n">
        <v>0</v>
      </c>
      <c r="Q15" s="17" t="n">
        <v>0</v>
      </c>
      <c r="R15" s="17" t="n">
        <v>0</v>
      </c>
      <c r="S15" s="17" t="n">
        <v>0</v>
      </c>
      <c r="T15" s="17" t="n">
        <v>0</v>
      </c>
      <c r="U15" s="17" t="n">
        <v>0</v>
      </c>
      <c r="V15" s="17" t="n">
        <v>0</v>
      </c>
      <c r="W15" s="17" t="n">
        <v>0</v>
      </c>
      <c r="X15" s="17" t="n">
        <v>0</v>
      </c>
      <c r="Y15" s="17" t="n">
        <v>0</v>
      </c>
      <c r="Z15" s="17" t="n">
        <v>0</v>
      </c>
      <c r="AA15" s="17" t="n">
        <v>0</v>
      </c>
      <c r="AB15" s="17" t="n">
        <v>0</v>
      </c>
      <c r="AC15" s="17" t="n">
        <v>0</v>
      </c>
      <c r="AD15" s="17" t="n">
        <v>0</v>
      </c>
      <c r="AE15" s="17" t="n">
        <v>0</v>
      </c>
      <c r="AF15" s="17" t="n">
        <v>0</v>
      </c>
      <c r="AG15" s="17" t="n">
        <v>0</v>
      </c>
      <c r="AH15" s="17" t="n">
        <v>0</v>
      </c>
      <c r="AI15" s="17" t="n">
        <v>0</v>
      </c>
      <c r="AJ15" s="17" t="n">
        <v>0</v>
      </c>
      <c r="AK15" s="17" t="n">
        <v>0</v>
      </c>
      <c r="AL15" s="17" t="n">
        <v>0</v>
      </c>
      <c r="AM15" s="17" t="n">
        <v>0</v>
      </c>
      <c r="AN15" s="17" t="n">
        <v>0</v>
      </c>
      <c r="AO15" s="17" t="n">
        <v>0</v>
      </c>
      <c r="AP15" s="17" t="n">
        <v>0</v>
      </c>
      <c r="AQ15" s="17" t="n">
        <v>0</v>
      </c>
    </row>
    <row r="16" customFormat="false" ht="15" hidden="false" customHeight="false" outlineLevel="0" collapsed="false">
      <c r="A16" s="7" t="s">
        <v>145</v>
      </c>
      <c r="B16" s="17" t="s">
        <v>154</v>
      </c>
      <c r="C16" s="7" t="str">
        <f aca="false">A16&amp;"|"&amp;B16</f>
        <v>masa|Pausha</v>
      </c>
      <c r="D16" s="17" t="n">
        <v>0</v>
      </c>
      <c r="E16" s="17" t="n">
        <v>0</v>
      </c>
      <c r="F16" s="17" t="n">
        <v>0</v>
      </c>
      <c r="G16" s="17" t="n">
        <v>0</v>
      </c>
      <c r="H16" s="17" t="n">
        <v>0</v>
      </c>
      <c r="I16" s="17" t="n">
        <v>0</v>
      </c>
      <c r="J16" s="17" t="n">
        <v>0</v>
      </c>
      <c r="K16" s="17" t="n">
        <v>0</v>
      </c>
      <c r="L16" s="17" t="n">
        <v>0</v>
      </c>
      <c r="M16" s="17" t="n">
        <v>0</v>
      </c>
      <c r="N16" s="17" t="n">
        <v>0</v>
      </c>
      <c r="O16" s="17" t="n">
        <v>0</v>
      </c>
      <c r="P16" s="17" t="n">
        <v>0</v>
      </c>
      <c r="Q16" s="17" t="n">
        <v>0</v>
      </c>
      <c r="R16" s="17" t="n">
        <v>0</v>
      </c>
      <c r="S16" s="17" t="n">
        <v>0</v>
      </c>
      <c r="T16" s="17" t="n">
        <v>0</v>
      </c>
      <c r="U16" s="17" t="n">
        <v>0</v>
      </c>
      <c r="V16" s="17" t="n">
        <v>0</v>
      </c>
      <c r="W16" s="17" t="n">
        <v>0</v>
      </c>
      <c r="X16" s="17" t="n">
        <v>0</v>
      </c>
      <c r="Y16" s="17" t="n">
        <v>0</v>
      </c>
      <c r="Z16" s="17" t="n">
        <v>0</v>
      </c>
      <c r="AA16" s="17" t="n">
        <v>0</v>
      </c>
      <c r="AB16" s="17" t="n">
        <v>0</v>
      </c>
      <c r="AC16" s="17" t="n">
        <v>0</v>
      </c>
      <c r="AD16" s="17" t="n">
        <v>0</v>
      </c>
      <c r="AE16" s="17" t="n">
        <v>0</v>
      </c>
      <c r="AF16" s="17" t="n">
        <v>0</v>
      </c>
      <c r="AG16" s="17" t="n">
        <v>0</v>
      </c>
      <c r="AH16" s="17" t="n">
        <v>0</v>
      </c>
      <c r="AI16" s="17" t="n">
        <v>0</v>
      </c>
      <c r="AJ16" s="17" t="n">
        <v>0</v>
      </c>
      <c r="AK16" s="17" t="n">
        <v>0</v>
      </c>
      <c r="AL16" s="17" t="n">
        <v>0</v>
      </c>
      <c r="AM16" s="17" t="n">
        <v>0</v>
      </c>
      <c r="AN16" s="17" t="n">
        <v>0</v>
      </c>
      <c r="AO16" s="17" t="n">
        <v>0</v>
      </c>
      <c r="AP16" s="17" t="n">
        <v>0</v>
      </c>
      <c r="AQ16" s="17" t="n">
        <v>0</v>
      </c>
    </row>
    <row r="17" customFormat="false" ht="15" hidden="false" customHeight="false" outlineLevel="0" collapsed="false">
      <c r="A17" s="7" t="s">
        <v>145</v>
      </c>
      <c r="B17" s="17" t="s">
        <v>155</v>
      </c>
      <c r="C17" s="7" t="str">
        <f aca="false">A17&amp;"|"&amp;B17</f>
        <v>masa|Phalguna</v>
      </c>
      <c r="D17" s="17" t="n">
        <v>0</v>
      </c>
      <c r="E17" s="17" t="n">
        <v>0</v>
      </c>
      <c r="F17" s="17" t="n">
        <v>0</v>
      </c>
      <c r="G17" s="17" t="n">
        <v>0</v>
      </c>
      <c r="H17" s="17" t="n">
        <v>0</v>
      </c>
      <c r="I17" s="17" t="n">
        <v>0</v>
      </c>
      <c r="J17" s="17" t="n">
        <v>0</v>
      </c>
      <c r="K17" s="17" t="n">
        <v>0</v>
      </c>
      <c r="L17" s="17" t="n">
        <v>0</v>
      </c>
      <c r="M17" s="17" t="n">
        <v>0</v>
      </c>
      <c r="N17" s="17" t="n">
        <v>0</v>
      </c>
      <c r="O17" s="17" t="n">
        <v>0</v>
      </c>
      <c r="P17" s="17" t="n">
        <v>0</v>
      </c>
      <c r="Q17" s="17" t="n">
        <v>0</v>
      </c>
      <c r="R17" s="17" t="n">
        <v>0</v>
      </c>
      <c r="S17" s="17" t="n">
        <v>0</v>
      </c>
      <c r="T17" s="17" t="n">
        <v>0</v>
      </c>
      <c r="U17" s="17" t="n">
        <v>0</v>
      </c>
      <c r="V17" s="17" t="n">
        <v>0</v>
      </c>
      <c r="W17" s="17" t="n">
        <v>0</v>
      </c>
      <c r="X17" s="17" t="n">
        <v>0</v>
      </c>
      <c r="Y17" s="17" t="n">
        <v>0</v>
      </c>
      <c r="Z17" s="17" t="n">
        <v>0</v>
      </c>
      <c r="AA17" s="17" t="n">
        <v>0</v>
      </c>
      <c r="AB17" s="17" t="n">
        <v>0</v>
      </c>
      <c r="AC17" s="17" t="n">
        <v>0</v>
      </c>
      <c r="AD17" s="17" t="n">
        <v>0</v>
      </c>
      <c r="AE17" s="17" t="n">
        <v>0</v>
      </c>
      <c r="AF17" s="17" t="n">
        <v>0</v>
      </c>
      <c r="AG17" s="17" t="n">
        <v>0</v>
      </c>
      <c r="AH17" s="17" t="n">
        <v>0</v>
      </c>
      <c r="AI17" s="17" t="n">
        <v>0</v>
      </c>
      <c r="AJ17" s="17" t="n">
        <v>0</v>
      </c>
      <c r="AK17" s="17" t="n">
        <v>0</v>
      </c>
      <c r="AL17" s="17" t="n">
        <v>0</v>
      </c>
      <c r="AM17" s="17" t="n">
        <v>0</v>
      </c>
      <c r="AN17" s="17" t="n">
        <v>0</v>
      </c>
      <c r="AO17" s="17" t="n">
        <v>0</v>
      </c>
      <c r="AP17" s="17" t="n">
        <v>0</v>
      </c>
      <c r="AQ17" s="17" t="n">
        <v>0</v>
      </c>
    </row>
    <row r="18" customFormat="false" ht="15" hidden="false" customHeight="false" outlineLevel="0" collapsed="false">
      <c r="A18" s="7" t="s">
        <v>145</v>
      </c>
      <c r="B18" s="17" t="s">
        <v>156</v>
      </c>
      <c r="C18" s="7" t="str">
        <f aca="false">A18&amp;"|"&amp;B18</f>
        <v>masa|Shravana</v>
      </c>
      <c r="D18" s="17" t="n">
        <v>0</v>
      </c>
      <c r="E18" s="17" t="n">
        <v>0</v>
      </c>
      <c r="F18" s="17" t="n">
        <v>0</v>
      </c>
      <c r="G18" s="17" t="n">
        <v>0</v>
      </c>
      <c r="H18" s="17" t="n">
        <v>0</v>
      </c>
      <c r="I18" s="17" t="n">
        <v>0</v>
      </c>
      <c r="J18" s="17" t="n">
        <v>0</v>
      </c>
      <c r="K18" s="17" t="n">
        <v>0</v>
      </c>
      <c r="L18" s="17" t="n">
        <v>0</v>
      </c>
      <c r="M18" s="17" t="n">
        <v>0</v>
      </c>
      <c r="N18" s="17" t="n">
        <v>0</v>
      </c>
      <c r="O18" s="17" t="n">
        <v>0</v>
      </c>
      <c r="P18" s="17" t="n">
        <v>0</v>
      </c>
      <c r="Q18" s="17" t="n">
        <v>0</v>
      </c>
      <c r="R18" s="17" t="n">
        <v>0</v>
      </c>
      <c r="S18" s="17" t="n">
        <v>0</v>
      </c>
      <c r="T18" s="17" t="n">
        <v>0</v>
      </c>
      <c r="U18" s="17" t="n">
        <v>0</v>
      </c>
      <c r="V18" s="17" t="n">
        <v>0</v>
      </c>
      <c r="W18" s="17" t="n">
        <v>0</v>
      </c>
      <c r="X18" s="17" t="n">
        <v>0</v>
      </c>
      <c r="Y18" s="17" t="n">
        <v>0</v>
      </c>
      <c r="Z18" s="17" t="n">
        <v>0</v>
      </c>
      <c r="AA18" s="17" t="n">
        <v>0</v>
      </c>
      <c r="AB18" s="17" t="n">
        <v>0</v>
      </c>
      <c r="AC18" s="17" t="n">
        <v>0</v>
      </c>
      <c r="AD18" s="17" t="n">
        <v>0</v>
      </c>
      <c r="AE18" s="17" t="n">
        <v>0</v>
      </c>
      <c r="AF18" s="17" t="n">
        <v>0</v>
      </c>
      <c r="AG18" s="17" t="n">
        <v>0</v>
      </c>
      <c r="AH18" s="17" t="n">
        <v>0</v>
      </c>
      <c r="AI18" s="17" t="n">
        <v>0</v>
      </c>
      <c r="AJ18" s="17" t="n">
        <v>0</v>
      </c>
      <c r="AK18" s="17" t="n">
        <v>0</v>
      </c>
      <c r="AL18" s="17" t="n">
        <v>0</v>
      </c>
      <c r="AM18" s="17" t="n">
        <v>0</v>
      </c>
      <c r="AN18" s="17" t="n">
        <v>0</v>
      </c>
      <c r="AO18" s="17" t="n">
        <v>0</v>
      </c>
      <c r="AP18" s="17" t="n">
        <v>0</v>
      </c>
      <c r="AQ18" s="17" t="n">
        <v>0</v>
      </c>
    </row>
    <row r="19" customFormat="false" ht="15" hidden="false" customHeight="false" outlineLevel="0" collapsed="false">
      <c r="A19" s="7" t="s">
        <v>145</v>
      </c>
      <c r="B19" s="17" t="s">
        <v>157</v>
      </c>
      <c r="C19" s="7" t="str">
        <f aca="false">A19&amp;"|"&amp;B19</f>
        <v>masa|Vaishakha</v>
      </c>
      <c r="D19" s="17" t="n">
        <v>0</v>
      </c>
      <c r="E19" s="17" t="n">
        <v>0</v>
      </c>
      <c r="F19" s="17" t="n">
        <v>0</v>
      </c>
      <c r="G19" s="17" t="n">
        <v>0</v>
      </c>
      <c r="H19" s="17" t="n">
        <v>0</v>
      </c>
      <c r="I19" s="17" t="n">
        <v>0</v>
      </c>
      <c r="J19" s="17" t="n">
        <v>0</v>
      </c>
      <c r="K19" s="17" t="n">
        <v>0</v>
      </c>
      <c r="L19" s="17" t="n">
        <v>0</v>
      </c>
      <c r="M19" s="17" t="n">
        <v>0</v>
      </c>
      <c r="N19" s="17" t="n">
        <v>0</v>
      </c>
      <c r="O19" s="17" t="n">
        <v>0</v>
      </c>
      <c r="P19" s="17" t="n">
        <v>0</v>
      </c>
      <c r="Q19" s="17" t="n">
        <v>0</v>
      </c>
      <c r="R19" s="17" t="n">
        <v>0</v>
      </c>
      <c r="S19" s="17" t="n">
        <v>0</v>
      </c>
      <c r="T19" s="17" t="n">
        <v>0</v>
      </c>
      <c r="U19" s="17" t="n">
        <v>0</v>
      </c>
      <c r="V19" s="17" t="n">
        <v>0</v>
      </c>
      <c r="W19" s="17" t="n">
        <v>0</v>
      </c>
      <c r="X19" s="17" t="n">
        <v>0</v>
      </c>
      <c r="Y19" s="17" t="n">
        <v>0</v>
      </c>
      <c r="Z19" s="17" t="n">
        <v>0</v>
      </c>
      <c r="AA19" s="17" t="n">
        <v>0</v>
      </c>
      <c r="AB19" s="17" t="n">
        <v>0</v>
      </c>
      <c r="AC19" s="17" t="n">
        <v>0</v>
      </c>
      <c r="AD19" s="17" t="n">
        <v>0</v>
      </c>
      <c r="AE19" s="17" t="n">
        <v>0</v>
      </c>
      <c r="AF19" s="17" t="n">
        <v>0</v>
      </c>
      <c r="AG19" s="17" t="n">
        <v>0</v>
      </c>
      <c r="AH19" s="17" t="n">
        <v>0</v>
      </c>
      <c r="AI19" s="17" t="n">
        <v>0</v>
      </c>
      <c r="AJ19" s="17" t="n">
        <v>0</v>
      </c>
      <c r="AK19" s="17" t="n">
        <v>0</v>
      </c>
      <c r="AL19" s="17" t="n">
        <v>0</v>
      </c>
      <c r="AM19" s="17" t="n">
        <v>0</v>
      </c>
      <c r="AN19" s="17" t="n">
        <v>0</v>
      </c>
      <c r="AO19" s="17" t="n">
        <v>0</v>
      </c>
      <c r="AP19" s="17" t="n">
        <v>0</v>
      </c>
      <c r="AQ19" s="17" t="n">
        <v>0</v>
      </c>
    </row>
    <row r="20" customFormat="false" ht="15" hidden="false" customHeight="false" outlineLevel="0" collapsed="false">
      <c r="A20" s="7" t="s">
        <v>158</v>
      </c>
      <c r="B20" s="17" t="s">
        <v>159</v>
      </c>
      <c r="C20" s="7" t="str">
        <f aca="false">A20&amp;"|"&amp;B20</f>
        <v>year_stem|Bing</v>
      </c>
      <c r="D20" s="17" t="n">
        <v>0</v>
      </c>
      <c r="E20" s="17" t="n">
        <v>0</v>
      </c>
      <c r="F20" s="17" t="n">
        <v>0</v>
      </c>
      <c r="G20" s="17" t="n">
        <v>0</v>
      </c>
      <c r="H20" s="17" t="n">
        <v>0</v>
      </c>
      <c r="I20" s="17" t="n">
        <v>0</v>
      </c>
      <c r="J20" s="17" t="n">
        <v>0</v>
      </c>
      <c r="K20" s="17" t="n">
        <v>0</v>
      </c>
      <c r="L20" s="17" t="n">
        <v>0</v>
      </c>
      <c r="M20" s="17" t="n">
        <v>0</v>
      </c>
      <c r="N20" s="17" t="n">
        <v>0</v>
      </c>
      <c r="O20" s="17" t="n">
        <v>0</v>
      </c>
      <c r="P20" s="17" t="n">
        <v>0</v>
      </c>
      <c r="Q20" s="17" t="n">
        <v>0</v>
      </c>
      <c r="R20" s="17" t="n">
        <v>0</v>
      </c>
      <c r="S20" s="17" t="n">
        <v>0</v>
      </c>
      <c r="T20" s="17" t="n">
        <v>0</v>
      </c>
      <c r="U20" s="17" t="n">
        <v>0</v>
      </c>
      <c r="V20" s="17" t="n">
        <v>0</v>
      </c>
      <c r="W20" s="17" t="n">
        <v>0</v>
      </c>
      <c r="X20" s="17" t="n">
        <v>0</v>
      </c>
      <c r="Y20" s="17" t="n">
        <v>0</v>
      </c>
      <c r="Z20" s="17" t="n">
        <v>0</v>
      </c>
      <c r="AA20" s="17" t="n">
        <v>0</v>
      </c>
      <c r="AB20" s="17" t="n">
        <v>0</v>
      </c>
      <c r="AC20" s="17" t="n">
        <v>0</v>
      </c>
      <c r="AD20" s="17" t="n">
        <v>0</v>
      </c>
      <c r="AE20" s="17" t="n">
        <v>0</v>
      </c>
      <c r="AF20" s="17" t="n">
        <v>0</v>
      </c>
      <c r="AG20" s="17" t="n">
        <v>0</v>
      </c>
      <c r="AH20" s="17" t="n">
        <v>0</v>
      </c>
      <c r="AI20" s="17" t="n">
        <v>0</v>
      </c>
      <c r="AJ20" s="17" t="n">
        <v>0</v>
      </c>
      <c r="AK20" s="17" t="n">
        <v>0</v>
      </c>
      <c r="AL20" s="17" t="n">
        <v>0</v>
      </c>
      <c r="AM20" s="17" t="n">
        <v>0</v>
      </c>
      <c r="AN20" s="17" t="n">
        <v>0</v>
      </c>
      <c r="AO20" s="17" t="n">
        <v>0</v>
      </c>
      <c r="AP20" s="17" t="n">
        <v>0</v>
      </c>
      <c r="AQ20" s="17" t="n">
        <v>0</v>
      </c>
    </row>
    <row r="21" customFormat="false" ht="15" hidden="false" customHeight="false" outlineLevel="0" collapsed="false">
      <c r="A21" s="7" t="s">
        <v>158</v>
      </c>
      <c r="B21" s="17" t="s">
        <v>160</v>
      </c>
      <c r="C21" s="7" t="str">
        <f aca="false">A21&amp;"|"&amp;B21</f>
        <v>year_stem|Ding</v>
      </c>
      <c r="D21" s="17" t="n">
        <v>0</v>
      </c>
      <c r="E21" s="17" t="n">
        <v>0</v>
      </c>
      <c r="F21" s="17" t="n">
        <v>0</v>
      </c>
      <c r="G21" s="17" t="n">
        <v>0</v>
      </c>
      <c r="H21" s="17" t="n">
        <v>0</v>
      </c>
      <c r="I21" s="17" t="n">
        <v>0</v>
      </c>
      <c r="J21" s="17" t="n">
        <v>0</v>
      </c>
      <c r="K21" s="17" t="n">
        <v>0</v>
      </c>
      <c r="L21" s="17" t="n">
        <v>0</v>
      </c>
      <c r="M21" s="17" t="n">
        <v>0</v>
      </c>
      <c r="N21" s="17" t="n">
        <v>0</v>
      </c>
      <c r="O21" s="17" t="n">
        <v>0</v>
      </c>
      <c r="P21" s="17" t="n">
        <v>0</v>
      </c>
      <c r="Q21" s="17" t="n">
        <v>0</v>
      </c>
      <c r="R21" s="17" t="n">
        <v>0</v>
      </c>
      <c r="S21" s="17" t="n">
        <v>0</v>
      </c>
      <c r="T21" s="17" t="n">
        <v>0</v>
      </c>
      <c r="U21" s="17" t="n">
        <v>0</v>
      </c>
      <c r="V21" s="17" t="n">
        <v>0</v>
      </c>
      <c r="W21" s="17" t="n">
        <v>0</v>
      </c>
      <c r="X21" s="17" t="n">
        <v>0</v>
      </c>
      <c r="Y21" s="17" t="n">
        <v>0</v>
      </c>
      <c r="Z21" s="17" t="n">
        <v>0</v>
      </c>
      <c r="AA21" s="17" t="n">
        <v>0</v>
      </c>
      <c r="AB21" s="17" t="n">
        <v>0</v>
      </c>
      <c r="AC21" s="17" t="n">
        <v>0</v>
      </c>
      <c r="AD21" s="17" t="n">
        <v>0</v>
      </c>
      <c r="AE21" s="17" t="n">
        <v>0</v>
      </c>
      <c r="AF21" s="17" t="n">
        <v>0</v>
      </c>
      <c r="AG21" s="17" t="n">
        <v>0</v>
      </c>
      <c r="AH21" s="17" t="n">
        <v>0</v>
      </c>
      <c r="AI21" s="17" t="n">
        <v>0</v>
      </c>
      <c r="AJ21" s="17" t="n">
        <v>0</v>
      </c>
      <c r="AK21" s="17" t="n">
        <v>0</v>
      </c>
      <c r="AL21" s="17" t="n">
        <v>0</v>
      </c>
      <c r="AM21" s="17" t="n">
        <v>0</v>
      </c>
      <c r="AN21" s="17" t="n">
        <v>0</v>
      </c>
      <c r="AO21" s="17" t="n">
        <v>0</v>
      </c>
      <c r="AP21" s="17" t="n">
        <v>0</v>
      </c>
      <c r="AQ21" s="17" t="n">
        <v>0</v>
      </c>
    </row>
    <row r="22" customFormat="false" ht="15" hidden="false" customHeight="false" outlineLevel="0" collapsed="false">
      <c r="A22" s="7" t="s">
        <v>158</v>
      </c>
      <c r="B22" s="17" t="s">
        <v>161</v>
      </c>
      <c r="C22" s="7" t="str">
        <f aca="false">A22&amp;"|"&amp;B22</f>
        <v>year_stem|Geng</v>
      </c>
      <c r="D22" s="17" t="n">
        <v>0</v>
      </c>
      <c r="E22" s="17" t="n">
        <v>0</v>
      </c>
      <c r="F22" s="17" t="n">
        <v>0</v>
      </c>
      <c r="G22" s="17" t="n">
        <v>0</v>
      </c>
      <c r="H22" s="17" t="n">
        <v>0</v>
      </c>
      <c r="I22" s="17" t="n">
        <v>0</v>
      </c>
      <c r="J22" s="17" t="n">
        <v>0</v>
      </c>
      <c r="K22" s="17" t="n">
        <v>0</v>
      </c>
      <c r="L22" s="17" t="n">
        <v>0</v>
      </c>
      <c r="M22" s="17" t="n">
        <v>0</v>
      </c>
      <c r="N22" s="17" t="n">
        <v>0</v>
      </c>
      <c r="O22" s="17" t="n">
        <v>0</v>
      </c>
      <c r="P22" s="17" t="n">
        <v>0</v>
      </c>
      <c r="Q22" s="17" t="n">
        <v>0</v>
      </c>
      <c r="R22" s="17" t="n">
        <v>0</v>
      </c>
      <c r="S22" s="17" t="n">
        <v>0</v>
      </c>
      <c r="T22" s="17" t="n">
        <v>0</v>
      </c>
      <c r="U22" s="17" t="n">
        <v>0</v>
      </c>
      <c r="V22" s="17" t="n">
        <v>0</v>
      </c>
      <c r="W22" s="17" t="n">
        <v>0</v>
      </c>
      <c r="X22" s="17" t="n">
        <v>0</v>
      </c>
      <c r="Y22" s="17" t="n">
        <v>0</v>
      </c>
      <c r="Z22" s="17" t="n">
        <v>0</v>
      </c>
      <c r="AA22" s="17" t="n">
        <v>0</v>
      </c>
      <c r="AB22" s="17" t="n">
        <v>0</v>
      </c>
      <c r="AC22" s="17" t="n">
        <v>0</v>
      </c>
      <c r="AD22" s="17" t="n">
        <v>0</v>
      </c>
      <c r="AE22" s="17" t="n">
        <v>0</v>
      </c>
      <c r="AF22" s="17" t="n">
        <v>0</v>
      </c>
      <c r="AG22" s="17" t="n">
        <v>0</v>
      </c>
      <c r="AH22" s="17" t="n">
        <v>0</v>
      </c>
      <c r="AI22" s="17" t="n">
        <v>0</v>
      </c>
      <c r="AJ22" s="17" t="n">
        <v>0</v>
      </c>
      <c r="AK22" s="17" t="n">
        <v>0</v>
      </c>
      <c r="AL22" s="17" t="n">
        <v>0</v>
      </c>
      <c r="AM22" s="17" t="n">
        <v>0</v>
      </c>
      <c r="AN22" s="17" t="n">
        <v>0</v>
      </c>
      <c r="AO22" s="17" t="n">
        <v>0</v>
      </c>
      <c r="AP22" s="17" t="n">
        <v>0</v>
      </c>
      <c r="AQ22" s="17" t="n">
        <v>0</v>
      </c>
    </row>
    <row r="23" customFormat="false" ht="15" hidden="false" customHeight="false" outlineLevel="0" collapsed="false">
      <c r="A23" s="7" t="s">
        <v>158</v>
      </c>
      <c r="B23" s="17" t="s">
        <v>162</v>
      </c>
      <c r="C23" s="7" t="str">
        <f aca="false">A23&amp;"|"&amp;B23</f>
        <v>year_stem|Gui</v>
      </c>
      <c r="D23" s="17" t="n">
        <v>0</v>
      </c>
      <c r="E23" s="17" t="n">
        <v>0</v>
      </c>
      <c r="F23" s="17" t="n">
        <v>0</v>
      </c>
      <c r="G23" s="17" t="n">
        <v>0</v>
      </c>
      <c r="H23" s="17" t="n">
        <v>0</v>
      </c>
      <c r="I23" s="17" t="n">
        <v>0</v>
      </c>
      <c r="J23" s="17" t="n">
        <v>0</v>
      </c>
      <c r="K23" s="17" t="n">
        <v>0</v>
      </c>
      <c r="L23" s="17" t="n">
        <v>0</v>
      </c>
      <c r="M23" s="17" t="n">
        <v>0</v>
      </c>
      <c r="N23" s="17" t="n">
        <v>0</v>
      </c>
      <c r="O23" s="17" t="n">
        <v>0</v>
      </c>
      <c r="P23" s="17" t="n">
        <v>0</v>
      </c>
      <c r="Q23" s="17" t="n">
        <v>0</v>
      </c>
      <c r="R23" s="17" t="n">
        <v>0</v>
      </c>
      <c r="S23" s="17" t="n">
        <v>0</v>
      </c>
      <c r="T23" s="17" t="n">
        <v>0</v>
      </c>
      <c r="U23" s="17" t="n">
        <v>0</v>
      </c>
      <c r="V23" s="17" t="n">
        <v>0</v>
      </c>
      <c r="W23" s="17" t="n">
        <v>0</v>
      </c>
      <c r="X23" s="17" t="n">
        <v>0</v>
      </c>
      <c r="Y23" s="17" t="n">
        <v>0</v>
      </c>
      <c r="Z23" s="17" t="n">
        <v>0</v>
      </c>
      <c r="AA23" s="17" t="n">
        <v>0</v>
      </c>
      <c r="AB23" s="17" t="n">
        <v>0</v>
      </c>
      <c r="AC23" s="17" t="n">
        <v>0</v>
      </c>
      <c r="AD23" s="17" t="n">
        <v>0</v>
      </c>
      <c r="AE23" s="17" t="n">
        <v>0</v>
      </c>
      <c r="AF23" s="17" t="n">
        <v>0</v>
      </c>
      <c r="AG23" s="17" t="n">
        <v>0</v>
      </c>
      <c r="AH23" s="17" t="n">
        <v>0</v>
      </c>
      <c r="AI23" s="17" t="n">
        <v>0</v>
      </c>
      <c r="AJ23" s="17" t="n">
        <v>0</v>
      </c>
      <c r="AK23" s="17" t="n">
        <v>0</v>
      </c>
      <c r="AL23" s="17" t="n">
        <v>0</v>
      </c>
      <c r="AM23" s="17" t="n">
        <v>0</v>
      </c>
      <c r="AN23" s="17" t="n">
        <v>0</v>
      </c>
      <c r="AO23" s="17" t="n">
        <v>0</v>
      </c>
      <c r="AP23" s="17" t="n">
        <v>0</v>
      </c>
      <c r="AQ23" s="17" t="n">
        <v>0</v>
      </c>
    </row>
    <row r="24" customFormat="false" ht="15" hidden="false" customHeight="false" outlineLevel="0" collapsed="false">
      <c r="A24" s="7" t="s">
        <v>158</v>
      </c>
      <c r="B24" s="17" t="s">
        <v>163</v>
      </c>
      <c r="C24" s="7" t="str">
        <f aca="false">A24&amp;"|"&amp;B24</f>
        <v>year_stem|Ji</v>
      </c>
      <c r="D24" s="17" t="n">
        <v>0</v>
      </c>
      <c r="E24" s="17" t="n">
        <v>0</v>
      </c>
      <c r="F24" s="17" t="n">
        <v>0</v>
      </c>
      <c r="G24" s="17" t="n">
        <v>0</v>
      </c>
      <c r="H24" s="17" t="n">
        <v>0</v>
      </c>
      <c r="I24" s="17" t="n">
        <v>0</v>
      </c>
      <c r="J24" s="17" t="n">
        <v>0</v>
      </c>
      <c r="K24" s="17" t="n">
        <v>0</v>
      </c>
      <c r="L24" s="17" t="n">
        <v>0</v>
      </c>
      <c r="M24" s="17" t="n">
        <v>0</v>
      </c>
      <c r="N24" s="17" t="n">
        <v>0</v>
      </c>
      <c r="O24" s="17" t="n">
        <v>0</v>
      </c>
      <c r="P24" s="17" t="n">
        <v>0</v>
      </c>
      <c r="Q24" s="17" t="n">
        <v>0</v>
      </c>
      <c r="R24" s="17" t="n">
        <v>0</v>
      </c>
      <c r="S24" s="17" t="n">
        <v>0</v>
      </c>
      <c r="T24" s="17" t="n">
        <v>0</v>
      </c>
      <c r="U24" s="17" t="n">
        <v>0</v>
      </c>
      <c r="V24" s="17" t="n">
        <v>0</v>
      </c>
      <c r="W24" s="17" t="n">
        <v>0</v>
      </c>
      <c r="X24" s="17" t="n">
        <v>0</v>
      </c>
      <c r="Y24" s="17" t="n">
        <v>0</v>
      </c>
      <c r="Z24" s="17" t="n">
        <v>0</v>
      </c>
      <c r="AA24" s="17" t="n">
        <v>0</v>
      </c>
      <c r="AB24" s="17" t="n">
        <v>0</v>
      </c>
      <c r="AC24" s="17" t="n">
        <v>0</v>
      </c>
      <c r="AD24" s="17" t="n">
        <v>0</v>
      </c>
      <c r="AE24" s="17" t="n">
        <v>0</v>
      </c>
      <c r="AF24" s="17" t="n">
        <v>0</v>
      </c>
      <c r="AG24" s="17" t="n">
        <v>0</v>
      </c>
      <c r="AH24" s="17" t="n">
        <v>0</v>
      </c>
      <c r="AI24" s="17" t="n">
        <v>0</v>
      </c>
      <c r="AJ24" s="17" t="n">
        <v>0</v>
      </c>
      <c r="AK24" s="17" t="n">
        <v>0</v>
      </c>
      <c r="AL24" s="17" t="n">
        <v>0</v>
      </c>
      <c r="AM24" s="17" t="n">
        <v>0</v>
      </c>
      <c r="AN24" s="17" t="n">
        <v>0</v>
      </c>
      <c r="AO24" s="17" t="n">
        <v>0</v>
      </c>
      <c r="AP24" s="17" t="n">
        <v>0</v>
      </c>
      <c r="AQ24" s="17" t="n">
        <v>0</v>
      </c>
    </row>
    <row r="25" customFormat="false" ht="15" hidden="false" customHeight="false" outlineLevel="0" collapsed="false">
      <c r="A25" s="7" t="s">
        <v>158</v>
      </c>
      <c r="B25" s="17" t="s">
        <v>164</v>
      </c>
      <c r="C25" s="7" t="str">
        <f aca="false">A25&amp;"|"&amp;B25</f>
        <v>year_stem|Jia</v>
      </c>
      <c r="D25" s="17" t="n">
        <v>0</v>
      </c>
      <c r="E25" s="17" t="n">
        <v>0</v>
      </c>
      <c r="F25" s="17" t="n">
        <v>0</v>
      </c>
      <c r="G25" s="17" t="n">
        <v>0</v>
      </c>
      <c r="H25" s="17" t="n">
        <v>0</v>
      </c>
      <c r="I25" s="17" t="n">
        <v>0</v>
      </c>
      <c r="J25" s="17" t="n">
        <v>0</v>
      </c>
      <c r="K25" s="17" t="n">
        <v>0</v>
      </c>
      <c r="L25" s="17" t="n">
        <v>0</v>
      </c>
      <c r="M25" s="17" t="n">
        <v>0</v>
      </c>
      <c r="N25" s="17" t="n">
        <v>0</v>
      </c>
      <c r="O25" s="17" t="n">
        <v>0</v>
      </c>
      <c r="P25" s="17" t="n">
        <v>0</v>
      </c>
      <c r="Q25" s="17" t="n">
        <v>0</v>
      </c>
      <c r="R25" s="17" t="n">
        <v>0</v>
      </c>
      <c r="S25" s="17" t="n">
        <v>0</v>
      </c>
      <c r="T25" s="17" t="n">
        <v>0</v>
      </c>
      <c r="U25" s="17" t="n">
        <v>0</v>
      </c>
      <c r="V25" s="17" t="n">
        <v>0</v>
      </c>
      <c r="W25" s="17" t="n">
        <v>0</v>
      </c>
      <c r="X25" s="17" t="n">
        <v>0</v>
      </c>
      <c r="Y25" s="17" t="n">
        <v>0</v>
      </c>
      <c r="Z25" s="17" t="n">
        <v>0</v>
      </c>
      <c r="AA25" s="17" t="n">
        <v>0</v>
      </c>
      <c r="AB25" s="17" t="n">
        <v>0</v>
      </c>
      <c r="AC25" s="17" t="n">
        <v>0</v>
      </c>
      <c r="AD25" s="17" t="n">
        <v>0</v>
      </c>
      <c r="AE25" s="17" t="n">
        <v>0</v>
      </c>
      <c r="AF25" s="17" t="n">
        <v>0</v>
      </c>
      <c r="AG25" s="17" t="n">
        <v>0</v>
      </c>
      <c r="AH25" s="17" t="n">
        <v>0</v>
      </c>
      <c r="AI25" s="17" t="n">
        <v>0</v>
      </c>
      <c r="AJ25" s="17" t="n">
        <v>0</v>
      </c>
      <c r="AK25" s="17" t="n">
        <v>0</v>
      </c>
      <c r="AL25" s="17" t="n">
        <v>0</v>
      </c>
      <c r="AM25" s="17" t="n">
        <v>0</v>
      </c>
      <c r="AN25" s="17" t="n">
        <v>0</v>
      </c>
      <c r="AO25" s="17" t="n">
        <v>0</v>
      </c>
      <c r="AP25" s="17" t="n">
        <v>0</v>
      </c>
      <c r="AQ25" s="17" t="n">
        <v>0</v>
      </c>
    </row>
    <row r="26" customFormat="false" ht="15" hidden="false" customHeight="false" outlineLevel="0" collapsed="false">
      <c r="A26" s="7" t="s">
        <v>158</v>
      </c>
      <c r="B26" s="17" t="s">
        <v>165</v>
      </c>
      <c r="C26" s="7" t="str">
        <f aca="false">A26&amp;"|"&amp;B26</f>
        <v>year_stem|Ren</v>
      </c>
      <c r="D26" s="17" t="n">
        <v>0</v>
      </c>
      <c r="E26" s="17" t="n">
        <v>0</v>
      </c>
      <c r="F26" s="17" t="n">
        <v>0</v>
      </c>
      <c r="G26" s="17" t="n">
        <v>0</v>
      </c>
      <c r="H26" s="17" t="n">
        <v>0</v>
      </c>
      <c r="I26" s="17" t="n">
        <v>0</v>
      </c>
      <c r="J26" s="17" t="n">
        <v>0</v>
      </c>
      <c r="K26" s="17" t="n">
        <v>0</v>
      </c>
      <c r="L26" s="17" t="n">
        <v>0</v>
      </c>
      <c r="M26" s="17" t="n">
        <v>0</v>
      </c>
      <c r="N26" s="17" t="n">
        <v>0</v>
      </c>
      <c r="O26" s="17" t="n">
        <v>0</v>
      </c>
      <c r="P26" s="17" t="n">
        <v>0</v>
      </c>
      <c r="Q26" s="17" t="n">
        <v>0</v>
      </c>
      <c r="R26" s="17" t="n">
        <v>0</v>
      </c>
      <c r="S26" s="17" t="n">
        <v>0</v>
      </c>
      <c r="T26" s="17" t="n">
        <v>0</v>
      </c>
      <c r="U26" s="17" t="n">
        <v>0</v>
      </c>
      <c r="V26" s="17" t="n">
        <v>0</v>
      </c>
      <c r="W26" s="17" t="n">
        <v>0</v>
      </c>
      <c r="X26" s="17" t="n">
        <v>0</v>
      </c>
      <c r="Y26" s="17" t="n">
        <v>0</v>
      </c>
      <c r="Z26" s="17" t="n">
        <v>0</v>
      </c>
      <c r="AA26" s="17" t="n">
        <v>0</v>
      </c>
      <c r="AB26" s="17" t="n">
        <v>0</v>
      </c>
      <c r="AC26" s="17" t="n">
        <v>0</v>
      </c>
      <c r="AD26" s="17" t="n">
        <v>0</v>
      </c>
      <c r="AE26" s="17" t="n">
        <v>0</v>
      </c>
      <c r="AF26" s="17" t="n">
        <v>0</v>
      </c>
      <c r="AG26" s="17" t="n">
        <v>0</v>
      </c>
      <c r="AH26" s="17" t="n">
        <v>0</v>
      </c>
      <c r="AI26" s="17" t="n">
        <v>0</v>
      </c>
      <c r="AJ26" s="17" t="n">
        <v>0</v>
      </c>
      <c r="AK26" s="17" t="n">
        <v>0</v>
      </c>
      <c r="AL26" s="17" t="n">
        <v>0</v>
      </c>
      <c r="AM26" s="17" t="n">
        <v>0</v>
      </c>
      <c r="AN26" s="17" t="n">
        <v>0</v>
      </c>
      <c r="AO26" s="17" t="n">
        <v>0</v>
      </c>
      <c r="AP26" s="17" t="n">
        <v>0</v>
      </c>
      <c r="AQ26" s="17" t="n">
        <v>0</v>
      </c>
    </row>
    <row r="27" customFormat="false" ht="15" hidden="false" customHeight="false" outlineLevel="0" collapsed="false">
      <c r="A27" s="7" t="s">
        <v>158</v>
      </c>
      <c r="B27" s="17" t="s">
        <v>166</v>
      </c>
      <c r="C27" s="7" t="str">
        <f aca="false">A27&amp;"|"&amp;B27</f>
        <v>year_stem|Wu</v>
      </c>
      <c r="D27" s="17" t="n">
        <v>0</v>
      </c>
      <c r="E27" s="17" t="n">
        <v>0</v>
      </c>
      <c r="F27" s="17" t="n">
        <v>0</v>
      </c>
      <c r="G27" s="17" t="n">
        <v>0</v>
      </c>
      <c r="H27" s="17" t="n">
        <v>0</v>
      </c>
      <c r="I27" s="17" t="n">
        <v>0</v>
      </c>
      <c r="J27" s="17" t="n">
        <v>0</v>
      </c>
      <c r="K27" s="17" t="n">
        <v>0</v>
      </c>
      <c r="L27" s="17" t="n">
        <v>0</v>
      </c>
      <c r="M27" s="17" t="n">
        <v>0</v>
      </c>
      <c r="N27" s="17" t="n">
        <v>0</v>
      </c>
      <c r="O27" s="17" t="n">
        <v>0</v>
      </c>
      <c r="P27" s="17" t="n">
        <v>0</v>
      </c>
      <c r="Q27" s="17" t="n">
        <v>0</v>
      </c>
      <c r="R27" s="17" t="n">
        <v>0</v>
      </c>
      <c r="S27" s="17" t="n">
        <v>0</v>
      </c>
      <c r="T27" s="17" t="n">
        <v>0</v>
      </c>
      <c r="U27" s="17" t="n">
        <v>0</v>
      </c>
      <c r="V27" s="17" t="n">
        <v>0</v>
      </c>
      <c r="W27" s="17" t="n">
        <v>0</v>
      </c>
      <c r="X27" s="17" t="n">
        <v>0</v>
      </c>
      <c r="Y27" s="17" t="n">
        <v>0</v>
      </c>
      <c r="Z27" s="17" t="n">
        <v>0</v>
      </c>
      <c r="AA27" s="17" t="n">
        <v>0</v>
      </c>
      <c r="AB27" s="17" t="n">
        <v>0</v>
      </c>
      <c r="AC27" s="17" t="n">
        <v>0</v>
      </c>
      <c r="AD27" s="17" t="n">
        <v>0</v>
      </c>
      <c r="AE27" s="17" t="n">
        <v>0</v>
      </c>
      <c r="AF27" s="17" t="n">
        <v>0</v>
      </c>
      <c r="AG27" s="17" t="n">
        <v>0</v>
      </c>
      <c r="AH27" s="17" t="n">
        <v>0</v>
      </c>
      <c r="AI27" s="17" t="n">
        <v>0</v>
      </c>
      <c r="AJ27" s="17" t="n">
        <v>0</v>
      </c>
      <c r="AK27" s="17" t="n">
        <v>0</v>
      </c>
      <c r="AL27" s="17" t="n">
        <v>0</v>
      </c>
      <c r="AM27" s="17" t="n">
        <v>0</v>
      </c>
      <c r="AN27" s="17" t="n">
        <v>0</v>
      </c>
      <c r="AO27" s="17" t="n">
        <v>0</v>
      </c>
      <c r="AP27" s="17" t="n">
        <v>0</v>
      </c>
      <c r="AQ27" s="17" t="n">
        <v>0</v>
      </c>
    </row>
    <row r="28" customFormat="false" ht="15" hidden="false" customHeight="false" outlineLevel="0" collapsed="false">
      <c r="A28" s="7" t="s">
        <v>158</v>
      </c>
      <c r="B28" s="17" t="s">
        <v>167</v>
      </c>
      <c r="C28" s="7" t="str">
        <f aca="false">A28&amp;"|"&amp;B28</f>
        <v>year_stem|Xin</v>
      </c>
      <c r="D28" s="17" t="n">
        <v>0</v>
      </c>
      <c r="E28" s="17" t="n">
        <v>0</v>
      </c>
      <c r="F28" s="17" t="n">
        <v>0</v>
      </c>
      <c r="G28" s="17" t="n">
        <v>0</v>
      </c>
      <c r="H28" s="17" t="n">
        <v>0</v>
      </c>
      <c r="I28" s="17" t="n">
        <v>0</v>
      </c>
      <c r="J28" s="17" t="n">
        <v>0</v>
      </c>
      <c r="K28" s="17" t="n">
        <v>0</v>
      </c>
      <c r="L28" s="17" t="n">
        <v>0</v>
      </c>
      <c r="M28" s="17" t="n">
        <v>0</v>
      </c>
      <c r="N28" s="17" t="n">
        <v>0</v>
      </c>
      <c r="O28" s="17" t="n">
        <v>0</v>
      </c>
      <c r="P28" s="17" t="n">
        <v>0</v>
      </c>
      <c r="Q28" s="17" t="n">
        <v>0</v>
      </c>
      <c r="R28" s="17" t="n">
        <v>0</v>
      </c>
      <c r="S28" s="17" t="n">
        <v>0</v>
      </c>
      <c r="T28" s="17" t="n">
        <v>0</v>
      </c>
      <c r="U28" s="17" t="n">
        <v>0</v>
      </c>
      <c r="V28" s="17" t="n">
        <v>0</v>
      </c>
      <c r="W28" s="17" t="n">
        <v>0</v>
      </c>
      <c r="X28" s="17" t="n">
        <v>0</v>
      </c>
      <c r="Y28" s="17" t="n">
        <v>0</v>
      </c>
      <c r="Z28" s="17" t="n">
        <v>0</v>
      </c>
      <c r="AA28" s="17" t="n">
        <v>0</v>
      </c>
      <c r="AB28" s="17" t="n">
        <v>0</v>
      </c>
      <c r="AC28" s="17" t="n">
        <v>0</v>
      </c>
      <c r="AD28" s="17" t="n">
        <v>0</v>
      </c>
      <c r="AE28" s="17" t="n">
        <v>0</v>
      </c>
      <c r="AF28" s="17" t="n">
        <v>0</v>
      </c>
      <c r="AG28" s="17" t="n">
        <v>0</v>
      </c>
      <c r="AH28" s="17" t="n">
        <v>0</v>
      </c>
      <c r="AI28" s="17" t="n">
        <v>0</v>
      </c>
      <c r="AJ28" s="17" t="n">
        <v>0</v>
      </c>
      <c r="AK28" s="17" t="n">
        <v>0</v>
      </c>
      <c r="AL28" s="17" t="n">
        <v>0</v>
      </c>
      <c r="AM28" s="17" t="n">
        <v>0</v>
      </c>
      <c r="AN28" s="17" t="n">
        <v>0</v>
      </c>
      <c r="AO28" s="17" t="n">
        <v>0</v>
      </c>
      <c r="AP28" s="17" t="n">
        <v>0</v>
      </c>
      <c r="AQ28" s="17" t="n">
        <v>0</v>
      </c>
    </row>
    <row r="29" customFormat="false" ht="15" hidden="false" customHeight="false" outlineLevel="0" collapsed="false">
      <c r="A29" s="7" t="s">
        <v>158</v>
      </c>
      <c r="B29" s="17" t="s">
        <v>168</v>
      </c>
      <c r="C29" s="7" t="str">
        <f aca="false">A29&amp;"|"&amp;B29</f>
        <v>year_stem|Yi</v>
      </c>
      <c r="D29" s="17" t="n">
        <v>0</v>
      </c>
      <c r="E29" s="17" t="n">
        <v>0</v>
      </c>
      <c r="F29" s="17" t="n">
        <v>0</v>
      </c>
      <c r="G29" s="17" t="n">
        <v>0</v>
      </c>
      <c r="H29" s="17" t="n">
        <v>0</v>
      </c>
      <c r="I29" s="17" t="n">
        <v>0</v>
      </c>
      <c r="J29" s="17" t="n">
        <v>0</v>
      </c>
      <c r="K29" s="17" t="n">
        <v>0</v>
      </c>
      <c r="L29" s="17" t="n">
        <v>0</v>
      </c>
      <c r="M29" s="17" t="n">
        <v>0</v>
      </c>
      <c r="N29" s="17" t="n">
        <v>0</v>
      </c>
      <c r="O29" s="17" t="n">
        <v>0</v>
      </c>
      <c r="P29" s="17" t="n">
        <v>0</v>
      </c>
      <c r="Q29" s="17" t="n">
        <v>0</v>
      </c>
      <c r="R29" s="17" t="n">
        <v>0</v>
      </c>
      <c r="S29" s="17" t="n">
        <v>0</v>
      </c>
      <c r="T29" s="17" t="n">
        <v>0</v>
      </c>
      <c r="U29" s="17" t="n">
        <v>0</v>
      </c>
      <c r="V29" s="17" t="n">
        <v>0</v>
      </c>
      <c r="W29" s="17" t="n">
        <v>0</v>
      </c>
      <c r="X29" s="17" t="n">
        <v>0</v>
      </c>
      <c r="Y29" s="17" t="n">
        <v>0</v>
      </c>
      <c r="Z29" s="17" t="n">
        <v>0</v>
      </c>
      <c r="AA29" s="17" t="n">
        <v>0</v>
      </c>
      <c r="AB29" s="17" t="n">
        <v>0</v>
      </c>
      <c r="AC29" s="17" t="n">
        <v>0</v>
      </c>
      <c r="AD29" s="17" t="n">
        <v>0</v>
      </c>
      <c r="AE29" s="17" t="n">
        <v>0</v>
      </c>
      <c r="AF29" s="17" t="n">
        <v>0</v>
      </c>
      <c r="AG29" s="17" t="n">
        <v>0</v>
      </c>
      <c r="AH29" s="17" t="n">
        <v>0</v>
      </c>
      <c r="AI29" s="17" t="n">
        <v>0</v>
      </c>
      <c r="AJ29" s="17" t="n">
        <v>0</v>
      </c>
      <c r="AK29" s="17" t="n">
        <v>0</v>
      </c>
      <c r="AL29" s="17" t="n">
        <v>0</v>
      </c>
      <c r="AM29" s="17" t="n">
        <v>0</v>
      </c>
      <c r="AN29" s="17" t="n">
        <v>0</v>
      </c>
      <c r="AO29" s="17" t="n">
        <v>0</v>
      </c>
      <c r="AP29" s="17" t="n">
        <v>0</v>
      </c>
      <c r="AQ29" s="17" t="n">
        <v>0</v>
      </c>
    </row>
    <row r="30" customFormat="false" ht="15" hidden="false" customHeight="false" outlineLevel="0" collapsed="false">
      <c r="A30" s="7" t="s">
        <v>169</v>
      </c>
      <c r="B30" s="17" t="s">
        <v>170</v>
      </c>
      <c r="C30" s="7" t="str">
        <f aca="false">A30&amp;"|"&amp;B30</f>
        <v>lunar_day|1</v>
      </c>
      <c r="D30" s="17" t="n">
        <v>0</v>
      </c>
      <c r="E30" s="17" t="n">
        <v>0</v>
      </c>
      <c r="F30" s="17" t="n">
        <v>0</v>
      </c>
      <c r="G30" s="17" t="n">
        <v>0</v>
      </c>
      <c r="H30" s="17" t="n">
        <v>0</v>
      </c>
      <c r="I30" s="17" t="n">
        <v>0</v>
      </c>
      <c r="J30" s="17" t="n">
        <v>0</v>
      </c>
      <c r="K30" s="17" t="n">
        <v>0</v>
      </c>
      <c r="L30" s="17" t="n">
        <v>0</v>
      </c>
      <c r="M30" s="17" t="n">
        <v>0</v>
      </c>
      <c r="N30" s="17" t="n">
        <v>0</v>
      </c>
      <c r="O30" s="17" t="n">
        <v>0</v>
      </c>
      <c r="P30" s="17" t="n">
        <v>0</v>
      </c>
      <c r="Q30" s="17" t="n">
        <v>0</v>
      </c>
      <c r="R30" s="17" t="n">
        <v>0</v>
      </c>
      <c r="S30" s="17" t="n">
        <v>0</v>
      </c>
      <c r="T30" s="17" t="n">
        <v>0</v>
      </c>
      <c r="U30" s="17" t="n">
        <v>0</v>
      </c>
      <c r="V30" s="17" t="n">
        <v>0</v>
      </c>
      <c r="W30" s="17" t="n">
        <v>0</v>
      </c>
      <c r="X30" s="17" t="n">
        <v>0</v>
      </c>
      <c r="Y30" s="17" t="n">
        <v>-1</v>
      </c>
      <c r="Z30" s="17" t="n">
        <v>0</v>
      </c>
      <c r="AA30" s="17" t="n">
        <v>0</v>
      </c>
      <c r="AB30" s="17" t="n">
        <v>1</v>
      </c>
      <c r="AC30" s="17" t="n">
        <v>0</v>
      </c>
      <c r="AD30" s="17" t="n">
        <v>0</v>
      </c>
      <c r="AE30" s="17" t="n">
        <v>0</v>
      </c>
      <c r="AF30" s="17" t="n">
        <v>0</v>
      </c>
      <c r="AG30" s="17" t="n">
        <v>0</v>
      </c>
      <c r="AH30" s="17" t="n">
        <v>0</v>
      </c>
      <c r="AI30" s="17" t="n">
        <v>0</v>
      </c>
      <c r="AJ30" s="17" t="n">
        <v>0</v>
      </c>
      <c r="AK30" s="17" t="n">
        <v>0</v>
      </c>
      <c r="AL30" s="17" t="n">
        <v>0</v>
      </c>
      <c r="AM30" s="17" t="n">
        <v>0</v>
      </c>
      <c r="AN30" s="17" t="n">
        <v>0</v>
      </c>
      <c r="AO30" s="17" t="n">
        <v>0</v>
      </c>
      <c r="AP30" s="17" t="n">
        <v>0</v>
      </c>
      <c r="AQ30" s="17" t="n">
        <v>-1</v>
      </c>
    </row>
    <row r="31" customFormat="false" ht="15" hidden="false" customHeight="false" outlineLevel="0" collapsed="false">
      <c r="A31" s="7" t="s">
        <v>169</v>
      </c>
      <c r="B31" s="17" t="s">
        <v>171</v>
      </c>
      <c r="C31" s="7" t="str">
        <f aca="false">A31&amp;"|"&amp;B31</f>
        <v>lunar_day|10</v>
      </c>
      <c r="D31" s="17" t="n">
        <v>0</v>
      </c>
      <c r="E31" s="17" t="n">
        <v>0</v>
      </c>
      <c r="F31" s="17" t="n">
        <v>0</v>
      </c>
      <c r="G31" s="17" t="n">
        <v>0</v>
      </c>
      <c r="H31" s="17" t="n">
        <v>0</v>
      </c>
      <c r="I31" s="17" t="n">
        <v>0</v>
      </c>
      <c r="J31" s="17" t="n">
        <v>0</v>
      </c>
      <c r="K31" s="17" t="n">
        <v>0</v>
      </c>
      <c r="L31" s="17" t="n">
        <v>0</v>
      </c>
      <c r="M31" s="17" t="n">
        <v>0</v>
      </c>
      <c r="N31" s="17" t="n">
        <v>0</v>
      </c>
      <c r="O31" s="17" t="n">
        <v>0</v>
      </c>
      <c r="P31" s="17" t="n">
        <v>0</v>
      </c>
      <c r="Q31" s="17" t="n">
        <v>0</v>
      </c>
      <c r="R31" s="17" t="n">
        <v>0</v>
      </c>
      <c r="S31" s="17" t="n">
        <v>0</v>
      </c>
      <c r="T31" s="17" t="n">
        <v>0</v>
      </c>
      <c r="U31" s="17" t="n">
        <v>0</v>
      </c>
      <c r="V31" s="17" t="n">
        <v>0</v>
      </c>
      <c r="W31" s="17" t="n">
        <v>0</v>
      </c>
      <c r="X31" s="17" t="n">
        <v>0</v>
      </c>
      <c r="Y31" s="17" t="n">
        <v>0</v>
      </c>
      <c r="Z31" s="17" t="n">
        <v>0</v>
      </c>
      <c r="AA31" s="17" t="n">
        <v>0</v>
      </c>
      <c r="AB31" s="17" t="n">
        <v>0</v>
      </c>
      <c r="AC31" s="17" t="n">
        <v>0</v>
      </c>
      <c r="AD31" s="17" t="n">
        <v>0</v>
      </c>
      <c r="AE31" s="17" t="n">
        <v>0</v>
      </c>
      <c r="AF31" s="17" t="n">
        <v>0</v>
      </c>
      <c r="AG31" s="17" t="n">
        <v>1</v>
      </c>
      <c r="AH31" s="17" t="n">
        <v>0</v>
      </c>
      <c r="AI31" s="17" t="n">
        <v>0</v>
      </c>
      <c r="AJ31" s="17" t="n">
        <v>0</v>
      </c>
      <c r="AK31" s="17" t="n">
        <v>0</v>
      </c>
      <c r="AL31" s="17" t="n">
        <v>0</v>
      </c>
      <c r="AM31" s="17" t="n">
        <v>0</v>
      </c>
      <c r="AN31" s="17" t="n">
        <v>0</v>
      </c>
      <c r="AO31" s="17" t="n">
        <v>0</v>
      </c>
      <c r="AP31" s="17" t="n">
        <v>0</v>
      </c>
      <c r="AQ31" s="17" t="n">
        <v>0</v>
      </c>
    </row>
    <row r="32" customFormat="false" ht="15" hidden="false" customHeight="false" outlineLevel="0" collapsed="false">
      <c r="A32" s="7" t="s">
        <v>169</v>
      </c>
      <c r="B32" s="17" t="s">
        <v>172</v>
      </c>
      <c r="C32" s="7" t="str">
        <f aca="false">A32&amp;"|"&amp;B32</f>
        <v>lunar_day|11</v>
      </c>
      <c r="D32" s="17" t="n">
        <v>0</v>
      </c>
      <c r="E32" s="17" t="n">
        <v>0</v>
      </c>
      <c r="F32" s="17" t="n">
        <v>0</v>
      </c>
      <c r="G32" s="17" t="n">
        <v>0</v>
      </c>
      <c r="H32" s="17" t="n">
        <v>0</v>
      </c>
      <c r="I32" s="17" t="n">
        <v>0</v>
      </c>
      <c r="J32" s="17" t="n">
        <v>0</v>
      </c>
      <c r="K32" s="17" t="n">
        <v>0</v>
      </c>
      <c r="L32" s="17" t="n">
        <v>0</v>
      </c>
      <c r="M32" s="17" t="n">
        <v>0</v>
      </c>
      <c r="N32" s="17" t="n">
        <v>0</v>
      </c>
      <c r="O32" s="17" t="n">
        <v>0</v>
      </c>
      <c r="P32" s="17" t="n">
        <v>0</v>
      </c>
      <c r="Q32" s="17" t="n">
        <v>0</v>
      </c>
      <c r="R32" s="17" t="n">
        <v>0</v>
      </c>
      <c r="S32" s="17" t="n">
        <v>0</v>
      </c>
      <c r="T32" s="17" t="n">
        <v>0</v>
      </c>
      <c r="U32" s="17" t="n">
        <v>0</v>
      </c>
      <c r="V32" s="17" t="n">
        <v>0</v>
      </c>
      <c r="W32" s="17" t="n">
        <v>-1</v>
      </c>
      <c r="X32" s="17" t="n">
        <v>0</v>
      </c>
      <c r="Y32" s="17" t="n">
        <v>0</v>
      </c>
      <c r="Z32" s="17" t="n">
        <v>0</v>
      </c>
      <c r="AA32" s="17" t="n">
        <v>0</v>
      </c>
      <c r="AB32" s="17" t="n">
        <v>0</v>
      </c>
      <c r="AC32" s="17" t="n">
        <v>0</v>
      </c>
      <c r="AD32" s="17" t="n">
        <v>0</v>
      </c>
      <c r="AE32" s="17" t="n">
        <v>0</v>
      </c>
      <c r="AF32" s="17" t="n">
        <v>0</v>
      </c>
      <c r="AG32" s="17" t="n">
        <v>0</v>
      </c>
      <c r="AH32" s="17" t="n">
        <v>0</v>
      </c>
      <c r="AI32" s="17" t="n">
        <v>0</v>
      </c>
      <c r="AJ32" s="17" t="n">
        <v>0</v>
      </c>
      <c r="AK32" s="17" t="n">
        <v>0</v>
      </c>
      <c r="AL32" s="17" t="n">
        <v>0</v>
      </c>
      <c r="AM32" s="17" t="n">
        <v>0</v>
      </c>
      <c r="AN32" s="17" t="n">
        <v>0</v>
      </c>
      <c r="AO32" s="17" t="n">
        <v>0</v>
      </c>
      <c r="AP32" s="17" t="n">
        <v>0</v>
      </c>
      <c r="AQ32" s="17" t="n">
        <v>0</v>
      </c>
    </row>
    <row r="33" customFormat="false" ht="15" hidden="false" customHeight="false" outlineLevel="0" collapsed="false">
      <c r="A33" s="7" t="s">
        <v>169</v>
      </c>
      <c r="B33" s="17" t="s">
        <v>173</v>
      </c>
      <c r="C33" s="7" t="str">
        <f aca="false">A33&amp;"|"&amp;B33</f>
        <v>lunar_day|12</v>
      </c>
      <c r="D33" s="17" t="n">
        <v>1</v>
      </c>
      <c r="E33" s="17" t="n">
        <v>0</v>
      </c>
      <c r="F33" s="17" t="n">
        <v>0</v>
      </c>
      <c r="G33" s="17" t="n">
        <v>0</v>
      </c>
      <c r="H33" s="17" t="n">
        <v>0</v>
      </c>
      <c r="I33" s="17" t="n">
        <v>0</v>
      </c>
      <c r="J33" s="17" t="n">
        <v>-1</v>
      </c>
      <c r="K33" s="17" t="n">
        <v>0</v>
      </c>
      <c r="L33" s="17" t="n">
        <v>0</v>
      </c>
      <c r="M33" s="17" t="n">
        <v>0</v>
      </c>
      <c r="N33" s="17" t="n">
        <v>0</v>
      </c>
      <c r="O33" s="17" t="n">
        <v>0</v>
      </c>
      <c r="P33" s="17" t="n">
        <v>0</v>
      </c>
      <c r="Q33" s="17" t="n">
        <v>0</v>
      </c>
      <c r="R33" s="17" t="n">
        <v>0</v>
      </c>
      <c r="S33" s="17" t="n">
        <v>0</v>
      </c>
      <c r="T33" s="17" t="n">
        <v>0</v>
      </c>
      <c r="U33" s="17" t="n">
        <v>0</v>
      </c>
      <c r="V33" s="17" t="n">
        <v>0</v>
      </c>
      <c r="W33" s="17" t="n">
        <v>0</v>
      </c>
      <c r="X33" s="17" t="n">
        <v>0</v>
      </c>
      <c r="Y33" s="17" t="n">
        <v>0</v>
      </c>
      <c r="Z33" s="17" t="n">
        <v>0</v>
      </c>
      <c r="AA33" s="17" t="n">
        <v>0</v>
      </c>
      <c r="AB33" s="17" t="n">
        <v>0</v>
      </c>
      <c r="AC33" s="17" t="n">
        <v>0</v>
      </c>
      <c r="AD33" s="17" t="n">
        <v>0</v>
      </c>
      <c r="AE33" s="17" t="n">
        <v>0</v>
      </c>
      <c r="AF33" s="17" t="n">
        <v>0</v>
      </c>
      <c r="AG33" s="17" t="n">
        <v>0</v>
      </c>
      <c r="AH33" s="17" t="n">
        <v>0</v>
      </c>
      <c r="AI33" s="17" t="n">
        <v>0</v>
      </c>
      <c r="AJ33" s="17" t="n">
        <v>0</v>
      </c>
      <c r="AK33" s="17" t="n">
        <v>0</v>
      </c>
      <c r="AL33" s="17" t="n">
        <v>0</v>
      </c>
      <c r="AM33" s="17" t="n">
        <v>0</v>
      </c>
      <c r="AN33" s="17" t="n">
        <v>0</v>
      </c>
      <c r="AO33" s="17" t="n">
        <v>0</v>
      </c>
      <c r="AP33" s="17" t="n">
        <v>0</v>
      </c>
      <c r="AQ33" s="17" t="n">
        <v>0</v>
      </c>
    </row>
    <row r="34" customFormat="false" ht="15" hidden="false" customHeight="false" outlineLevel="0" collapsed="false">
      <c r="A34" s="7" t="s">
        <v>169</v>
      </c>
      <c r="B34" s="17" t="s">
        <v>174</v>
      </c>
      <c r="C34" s="7" t="str">
        <f aca="false">A34&amp;"|"&amp;B34</f>
        <v>lunar_day|13</v>
      </c>
      <c r="D34" s="17" t="n">
        <v>0</v>
      </c>
      <c r="E34" s="17" t="n">
        <v>0</v>
      </c>
      <c r="F34" s="17" t="n">
        <v>1</v>
      </c>
      <c r="G34" s="17" t="n">
        <v>0</v>
      </c>
      <c r="H34" s="17" t="n">
        <v>0</v>
      </c>
      <c r="I34" s="17" t="n">
        <v>0</v>
      </c>
      <c r="J34" s="17" t="n">
        <v>0</v>
      </c>
      <c r="K34" s="17" t="n">
        <v>0</v>
      </c>
      <c r="L34" s="17" t="n">
        <v>0</v>
      </c>
      <c r="M34" s="17" t="n">
        <v>0</v>
      </c>
      <c r="N34" s="17" t="n">
        <v>0</v>
      </c>
      <c r="O34" s="17" t="n">
        <v>0</v>
      </c>
      <c r="P34" s="17" t="n">
        <v>0</v>
      </c>
      <c r="Q34" s="17" t="n">
        <v>0</v>
      </c>
      <c r="R34" s="17" t="n">
        <v>0</v>
      </c>
      <c r="S34" s="17" t="n">
        <v>0</v>
      </c>
      <c r="T34" s="17" t="n">
        <v>0</v>
      </c>
      <c r="U34" s="17" t="n">
        <v>0</v>
      </c>
      <c r="V34" s="17" t="n">
        <v>0</v>
      </c>
      <c r="W34" s="17" t="n">
        <v>0</v>
      </c>
      <c r="X34" s="17" t="n">
        <v>0</v>
      </c>
      <c r="Y34" s="17" t="n">
        <v>0</v>
      </c>
      <c r="Z34" s="17" t="n">
        <v>0</v>
      </c>
      <c r="AA34" s="17" t="n">
        <v>0</v>
      </c>
      <c r="AB34" s="17" t="n">
        <v>0</v>
      </c>
      <c r="AC34" s="17" t="n">
        <v>0</v>
      </c>
      <c r="AD34" s="17" t="n">
        <v>0</v>
      </c>
      <c r="AE34" s="17" t="n">
        <v>0</v>
      </c>
      <c r="AF34" s="17" t="n">
        <v>0</v>
      </c>
      <c r="AG34" s="17" t="n">
        <v>0</v>
      </c>
      <c r="AH34" s="17" t="n">
        <v>0</v>
      </c>
      <c r="AI34" s="17" t="n">
        <v>0</v>
      </c>
      <c r="AJ34" s="17" t="n">
        <v>0</v>
      </c>
      <c r="AK34" s="17" t="n">
        <v>0</v>
      </c>
      <c r="AL34" s="17" t="n">
        <v>0</v>
      </c>
      <c r="AM34" s="17" t="n">
        <v>0</v>
      </c>
      <c r="AN34" s="17" t="n">
        <v>-1</v>
      </c>
      <c r="AO34" s="17" t="n">
        <v>0</v>
      </c>
      <c r="AP34" s="17" t="n">
        <v>0</v>
      </c>
      <c r="AQ34" s="17" t="n">
        <v>0</v>
      </c>
    </row>
    <row r="35" customFormat="false" ht="15" hidden="false" customHeight="false" outlineLevel="0" collapsed="false">
      <c r="A35" s="7" t="s">
        <v>169</v>
      </c>
      <c r="B35" s="17" t="s">
        <v>175</v>
      </c>
      <c r="C35" s="7" t="str">
        <f aca="false">A35&amp;"|"&amp;B35</f>
        <v>lunar_day|14</v>
      </c>
      <c r="D35" s="17" t="n">
        <v>0</v>
      </c>
      <c r="E35" s="17" t="n">
        <v>0</v>
      </c>
      <c r="F35" s="17" t="n">
        <v>0</v>
      </c>
      <c r="G35" s="17" t="n">
        <v>0</v>
      </c>
      <c r="H35" s="17" t="n">
        <v>0</v>
      </c>
      <c r="I35" s="17" t="n">
        <v>0</v>
      </c>
      <c r="J35" s="17" t="n">
        <v>0</v>
      </c>
      <c r="K35" s="17" t="n">
        <v>0</v>
      </c>
      <c r="L35" s="17" t="n">
        <v>0</v>
      </c>
      <c r="M35" s="17" t="n">
        <v>0</v>
      </c>
      <c r="N35" s="17" t="n">
        <v>0</v>
      </c>
      <c r="O35" s="17" t="n">
        <v>0</v>
      </c>
      <c r="P35" s="17" t="n">
        <v>0</v>
      </c>
      <c r="Q35" s="17" t="n">
        <v>-1</v>
      </c>
      <c r="R35" s="17" t="n">
        <v>0</v>
      </c>
      <c r="S35" s="17" t="n">
        <v>0</v>
      </c>
      <c r="T35" s="17" t="n">
        <v>0</v>
      </c>
      <c r="U35" s="17" t="n">
        <v>0</v>
      </c>
      <c r="V35" s="17" t="n">
        <v>0</v>
      </c>
      <c r="W35" s="17" t="n">
        <v>0</v>
      </c>
      <c r="X35" s="17" t="n">
        <v>0</v>
      </c>
      <c r="Y35" s="17" t="n">
        <v>-1</v>
      </c>
      <c r="Z35" s="17" t="n">
        <v>0</v>
      </c>
      <c r="AA35" s="17" t="n">
        <v>0</v>
      </c>
      <c r="AB35" s="17" t="n">
        <v>0</v>
      </c>
      <c r="AC35" s="17" t="n">
        <v>0</v>
      </c>
      <c r="AD35" s="17" t="n">
        <v>0</v>
      </c>
      <c r="AE35" s="17" t="n">
        <v>0</v>
      </c>
      <c r="AF35" s="17" t="n">
        <v>0</v>
      </c>
      <c r="AG35" s="17" t="n">
        <v>0</v>
      </c>
      <c r="AH35" s="17" t="n">
        <v>0</v>
      </c>
      <c r="AI35" s="17" t="n">
        <v>0</v>
      </c>
      <c r="AJ35" s="17" t="n">
        <v>0</v>
      </c>
      <c r="AK35" s="17" t="n">
        <v>0</v>
      </c>
      <c r="AL35" s="17" t="n">
        <v>0</v>
      </c>
      <c r="AM35" s="17" t="n">
        <v>-1</v>
      </c>
      <c r="AN35" s="17" t="n">
        <v>0</v>
      </c>
      <c r="AO35" s="17" t="n">
        <v>1</v>
      </c>
      <c r="AP35" s="17" t="n">
        <v>0</v>
      </c>
      <c r="AQ35" s="17" t="n">
        <v>0</v>
      </c>
    </row>
    <row r="36" customFormat="false" ht="15" hidden="false" customHeight="false" outlineLevel="0" collapsed="false">
      <c r="A36" s="7" t="s">
        <v>169</v>
      </c>
      <c r="B36" s="17" t="s">
        <v>176</v>
      </c>
      <c r="C36" s="7" t="str">
        <f aca="false">A36&amp;"|"&amp;B36</f>
        <v>lunar_day|15</v>
      </c>
      <c r="D36" s="17" t="n">
        <v>0</v>
      </c>
      <c r="E36" s="17" t="n">
        <v>0</v>
      </c>
      <c r="F36" s="17" t="n">
        <v>0</v>
      </c>
      <c r="G36" s="17" t="n">
        <v>0</v>
      </c>
      <c r="H36" s="17" t="n">
        <v>0</v>
      </c>
      <c r="I36" s="17" t="n">
        <v>0</v>
      </c>
      <c r="J36" s="17" t="n">
        <v>0</v>
      </c>
      <c r="K36" s="17" t="n">
        <v>0</v>
      </c>
      <c r="L36" s="17" t="n">
        <v>0</v>
      </c>
      <c r="M36" s="17" t="n">
        <v>0</v>
      </c>
      <c r="N36" s="17" t="n">
        <v>0</v>
      </c>
      <c r="O36" s="17" t="n">
        <v>0</v>
      </c>
      <c r="P36" s="17" t="n">
        <v>0</v>
      </c>
      <c r="Q36" s="17" t="n">
        <v>0</v>
      </c>
      <c r="R36" s="17" t="n">
        <v>0</v>
      </c>
      <c r="S36" s="17" t="n">
        <v>0</v>
      </c>
      <c r="T36" s="17" t="n">
        <v>0</v>
      </c>
      <c r="U36" s="17" t="n">
        <v>0</v>
      </c>
      <c r="V36" s="17" t="n">
        <v>0</v>
      </c>
      <c r="W36" s="17" t="n">
        <v>0</v>
      </c>
      <c r="X36" s="17" t="n">
        <v>0</v>
      </c>
      <c r="Y36" s="17" t="n">
        <v>0</v>
      </c>
      <c r="Z36" s="17" t="n">
        <v>0</v>
      </c>
      <c r="AA36" s="17" t="n">
        <v>0</v>
      </c>
      <c r="AB36" s="17" t="n">
        <v>0</v>
      </c>
      <c r="AC36" s="17" t="n">
        <v>0</v>
      </c>
      <c r="AD36" s="17" t="n">
        <v>0</v>
      </c>
      <c r="AE36" s="17" t="n">
        <v>0</v>
      </c>
      <c r="AF36" s="17" t="n">
        <v>0</v>
      </c>
      <c r="AG36" s="17" t="n">
        <v>0</v>
      </c>
      <c r="AH36" s="17" t="n">
        <v>0</v>
      </c>
      <c r="AI36" s="17" t="n">
        <v>0</v>
      </c>
      <c r="AJ36" s="17" t="n">
        <v>0</v>
      </c>
      <c r="AK36" s="17" t="n">
        <v>0</v>
      </c>
      <c r="AL36" s="17" t="n">
        <v>0</v>
      </c>
      <c r="AM36" s="17" t="n">
        <v>0</v>
      </c>
      <c r="AN36" s="17" t="n">
        <v>0</v>
      </c>
      <c r="AO36" s="17" t="n">
        <v>0</v>
      </c>
      <c r="AP36" s="17" t="n">
        <v>0</v>
      </c>
      <c r="AQ36" s="17" t="n">
        <v>0</v>
      </c>
    </row>
    <row r="37" customFormat="false" ht="15" hidden="false" customHeight="false" outlineLevel="0" collapsed="false">
      <c r="A37" s="7" t="s">
        <v>169</v>
      </c>
      <c r="B37" s="17" t="s">
        <v>177</v>
      </c>
      <c r="C37" s="7" t="str">
        <f aca="false">A37&amp;"|"&amp;B37</f>
        <v>lunar_day|16</v>
      </c>
      <c r="D37" s="17" t="n">
        <v>0</v>
      </c>
      <c r="E37" s="17" t="n">
        <v>0</v>
      </c>
      <c r="F37" s="17" t="n">
        <v>0</v>
      </c>
      <c r="G37" s="17" t="n">
        <v>0</v>
      </c>
      <c r="H37" s="17" t="n">
        <v>0</v>
      </c>
      <c r="I37" s="17" t="n">
        <v>-1</v>
      </c>
      <c r="J37" s="17" t="n">
        <v>0</v>
      </c>
      <c r="K37" s="17" t="n">
        <v>0</v>
      </c>
      <c r="L37" s="17" t="n">
        <v>0</v>
      </c>
      <c r="M37" s="17" t="n">
        <v>0</v>
      </c>
      <c r="N37" s="17" t="n">
        <v>0</v>
      </c>
      <c r="O37" s="17" t="n">
        <v>0</v>
      </c>
      <c r="P37" s="17" t="n">
        <v>0</v>
      </c>
      <c r="Q37" s="17" t="n">
        <v>0</v>
      </c>
      <c r="R37" s="17" t="n">
        <v>0</v>
      </c>
      <c r="S37" s="17" t="n">
        <v>1</v>
      </c>
      <c r="T37" s="17" t="n">
        <v>0</v>
      </c>
      <c r="U37" s="17" t="n">
        <v>0</v>
      </c>
      <c r="V37" s="17" t="n">
        <v>0</v>
      </c>
      <c r="W37" s="17" t="n">
        <v>0</v>
      </c>
      <c r="X37" s="17" t="n">
        <v>0</v>
      </c>
      <c r="Y37" s="17" t="n">
        <v>0</v>
      </c>
      <c r="Z37" s="17" t="n">
        <v>0</v>
      </c>
      <c r="AA37" s="17" t="n">
        <v>0</v>
      </c>
      <c r="AB37" s="17" t="n">
        <v>0</v>
      </c>
      <c r="AC37" s="17" t="n">
        <v>0</v>
      </c>
      <c r="AD37" s="17" t="n">
        <v>0</v>
      </c>
      <c r="AE37" s="17" t="n">
        <v>0</v>
      </c>
      <c r="AF37" s="17" t="n">
        <v>0</v>
      </c>
      <c r="AG37" s="17" t="n">
        <v>0</v>
      </c>
      <c r="AH37" s="17" t="n">
        <v>0</v>
      </c>
      <c r="AI37" s="17" t="n">
        <v>0</v>
      </c>
      <c r="AJ37" s="17" t="n">
        <v>0</v>
      </c>
      <c r="AK37" s="17" t="n">
        <v>0</v>
      </c>
      <c r="AL37" s="17" t="n">
        <v>0</v>
      </c>
      <c r="AM37" s="17" t="n">
        <v>0</v>
      </c>
      <c r="AN37" s="17" t="n">
        <v>0</v>
      </c>
      <c r="AO37" s="17" t="n">
        <v>0</v>
      </c>
      <c r="AP37" s="17" t="n">
        <v>0</v>
      </c>
      <c r="AQ37" s="17" t="n">
        <v>0</v>
      </c>
    </row>
    <row r="38" customFormat="false" ht="15" hidden="false" customHeight="false" outlineLevel="0" collapsed="false">
      <c r="A38" s="7" t="s">
        <v>169</v>
      </c>
      <c r="B38" s="17" t="s">
        <v>178</v>
      </c>
      <c r="C38" s="7" t="str">
        <f aca="false">A38&amp;"|"&amp;B38</f>
        <v>lunar_day|17</v>
      </c>
      <c r="D38" s="17" t="n">
        <v>0</v>
      </c>
      <c r="E38" s="17" t="n">
        <v>0</v>
      </c>
      <c r="F38" s="17" t="n">
        <v>0</v>
      </c>
      <c r="G38" s="17" t="n">
        <v>0</v>
      </c>
      <c r="H38" s="17" t="n">
        <v>0</v>
      </c>
      <c r="I38" s="17" t="n">
        <v>0</v>
      </c>
      <c r="J38" s="17" t="n">
        <v>1</v>
      </c>
      <c r="K38" s="17" t="n">
        <v>0</v>
      </c>
      <c r="L38" s="17" t="n">
        <v>0</v>
      </c>
      <c r="M38" s="17" t="n">
        <v>0</v>
      </c>
      <c r="N38" s="17" t="n">
        <v>0</v>
      </c>
      <c r="O38" s="17" t="n">
        <v>0</v>
      </c>
      <c r="P38" s="17" t="n">
        <v>0</v>
      </c>
      <c r="Q38" s="17" t="n">
        <v>0</v>
      </c>
      <c r="R38" s="17" t="n">
        <v>-1</v>
      </c>
      <c r="S38" s="17" t="n">
        <v>0</v>
      </c>
      <c r="T38" s="17" t="n">
        <v>0</v>
      </c>
      <c r="U38" s="17" t="n">
        <v>0</v>
      </c>
      <c r="V38" s="17" t="n">
        <v>0</v>
      </c>
      <c r="W38" s="17" t="n">
        <v>0</v>
      </c>
      <c r="X38" s="17" t="n">
        <v>0</v>
      </c>
      <c r="Y38" s="17" t="n">
        <v>0</v>
      </c>
      <c r="Z38" s="17" t="n">
        <v>0</v>
      </c>
      <c r="AA38" s="17" t="n">
        <v>1</v>
      </c>
      <c r="AB38" s="17" t="n">
        <v>0</v>
      </c>
      <c r="AC38" s="17" t="n">
        <v>0</v>
      </c>
      <c r="AD38" s="17" t="n">
        <v>0</v>
      </c>
      <c r="AE38" s="17" t="n">
        <v>0</v>
      </c>
      <c r="AF38" s="17" t="n">
        <v>0</v>
      </c>
      <c r="AG38" s="17" t="n">
        <v>0</v>
      </c>
      <c r="AH38" s="17" t="n">
        <v>0</v>
      </c>
      <c r="AI38" s="17" t="n">
        <v>0</v>
      </c>
      <c r="AJ38" s="17" t="n">
        <v>0</v>
      </c>
      <c r="AK38" s="17" t="n">
        <v>0</v>
      </c>
      <c r="AL38" s="17" t="n">
        <v>0</v>
      </c>
      <c r="AM38" s="17" t="n">
        <v>0</v>
      </c>
      <c r="AN38" s="17" t="n">
        <v>0</v>
      </c>
      <c r="AO38" s="17" t="n">
        <v>0</v>
      </c>
      <c r="AP38" s="17" t="n">
        <v>0</v>
      </c>
      <c r="AQ38" s="17" t="n">
        <v>0</v>
      </c>
    </row>
    <row r="39" customFormat="false" ht="15" hidden="false" customHeight="false" outlineLevel="0" collapsed="false">
      <c r="A39" s="7" t="s">
        <v>169</v>
      </c>
      <c r="B39" s="17" t="s">
        <v>179</v>
      </c>
      <c r="C39" s="7" t="str">
        <f aca="false">A39&amp;"|"&amp;B39</f>
        <v>lunar_day|18</v>
      </c>
      <c r="D39" s="17" t="n">
        <v>0</v>
      </c>
      <c r="E39" s="17" t="n">
        <v>0</v>
      </c>
      <c r="F39" s="17" t="n">
        <v>0</v>
      </c>
      <c r="G39" s="17" t="n">
        <v>0</v>
      </c>
      <c r="H39" s="17" t="n">
        <v>0</v>
      </c>
      <c r="I39" s="17" t="n">
        <v>0</v>
      </c>
      <c r="J39" s="17" t="n">
        <v>0</v>
      </c>
      <c r="K39" s="17" t="n">
        <v>0</v>
      </c>
      <c r="L39" s="17" t="n">
        <v>0</v>
      </c>
      <c r="M39" s="17" t="n">
        <v>0</v>
      </c>
      <c r="N39" s="17" t="n">
        <v>0</v>
      </c>
      <c r="O39" s="17" t="n">
        <v>0</v>
      </c>
      <c r="P39" s="17" t="n">
        <v>0</v>
      </c>
      <c r="Q39" s="17" t="n">
        <v>0</v>
      </c>
      <c r="R39" s="17" t="n">
        <v>0</v>
      </c>
      <c r="S39" s="17" t="n">
        <v>0</v>
      </c>
      <c r="T39" s="17" t="n">
        <v>0</v>
      </c>
      <c r="U39" s="17" t="n">
        <v>0</v>
      </c>
      <c r="V39" s="17" t="n">
        <v>0</v>
      </c>
      <c r="W39" s="17" t="n">
        <v>0</v>
      </c>
      <c r="X39" s="17" t="n">
        <v>0</v>
      </c>
      <c r="Y39" s="17" t="n">
        <v>0</v>
      </c>
      <c r="Z39" s="17" t="n">
        <v>0</v>
      </c>
      <c r="AA39" s="17" t="n">
        <v>0</v>
      </c>
      <c r="AB39" s="17" t="n">
        <v>0</v>
      </c>
      <c r="AC39" s="17" t="n">
        <v>0</v>
      </c>
      <c r="AD39" s="17" t="n">
        <v>0</v>
      </c>
      <c r="AE39" s="17" t="n">
        <v>0</v>
      </c>
      <c r="AF39" s="17" t="n">
        <v>0</v>
      </c>
      <c r="AG39" s="17" t="n">
        <v>0</v>
      </c>
      <c r="AH39" s="17" t="n">
        <v>0</v>
      </c>
      <c r="AI39" s="17" t="n">
        <v>0</v>
      </c>
      <c r="AJ39" s="17" t="n">
        <v>0</v>
      </c>
      <c r="AK39" s="17" t="n">
        <v>0</v>
      </c>
      <c r="AL39" s="17" t="n">
        <v>0</v>
      </c>
      <c r="AM39" s="17" t="n">
        <v>0</v>
      </c>
      <c r="AN39" s="17" t="n">
        <v>0</v>
      </c>
      <c r="AO39" s="17" t="n">
        <v>0</v>
      </c>
      <c r="AP39" s="17" t="n">
        <v>0</v>
      </c>
      <c r="AQ39" s="17" t="n">
        <v>0</v>
      </c>
    </row>
    <row r="40" customFormat="false" ht="15" hidden="false" customHeight="false" outlineLevel="0" collapsed="false">
      <c r="A40" s="7" t="s">
        <v>169</v>
      </c>
      <c r="B40" s="17" t="s">
        <v>180</v>
      </c>
      <c r="C40" s="7" t="str">
        <f aca="false">A40&amp;"|"&amp;B40</f>
        <v>lunar_day|19</v>
      </c>
      <c r="D40" s="17" t="n">
        <v>0</v>
      </c>
      <c r="E40" s="17" t="n">
        <v>0</v>
      </c>
      <c r="F40" s="17" t="n">
        <v>0</v>
      </c>
      <c r="G40" s="17" t="n">
        <v>0</v>
      </c>
      <c r="H40" s="17" t="n">
        <v>0</v>
      </c>
      <c r="I40" s="17" t="n">
        <v>0</v>
      </c>
      <c r="J40" s="17" t="n">
        <v>-1</v>
      </c>
      <c r="K40" s="17" t="n">
        <v>0</v>
      </c>
      <c r="L40" s="17" t="n">
        <v>-1</v>
      </c>
      <c r="M40" s="17" t="n">
        <v>0</v>
      </c>
      <c r="N40" s="17" t="n">
        <v>0</v>
      </c>
      <c r="O40" s="17" t="n">
        <v>0</v>
      </c>
      <c r="P40" s="17" t="n">
        <v>0</v>
      </c>
      <c r="Q40" s="17" t="n">
        <v>0</v>
      </c>
      <c r="R40" s="17" t="n">
        <v>0</v>
      </c>
      <c r="S40" s="17" t="n">
        <v>0</v>
      </c>
      <c r="T40" s="17" t="n">
        <v>0</v>
      </c>
      <c r="U40" s="17" t="n">
        <v>0</v>
      </c>
      <c r="V40" s="17" t="n">
        <v>0</v>
      </c>
      <c r="W40" s="17" t="n">
        <v>0</v>
      </c>
      <c r="X40" s="17" t="n">
        <v>0</v>
      </c>
      <c r="Y40" s="17" t="n">
        <v>0</v>
      </c>
      <c r="Z40" s="17" t="n">
        <v>0</v>
      </c>
      <c r="AA40" s="17" t="n">
        <v>0</v>
      </c>
      <c r="AB40" s="17" t="n">
        <v>0</v>
      </c>
      <c r="AC40" s="17" t="n">
        <v>0</v>
      </c>
      <c r="AD40" s="17" t="n">
        <v>0</v>
      </c>
      <c r="AE40" s="17" t="n">
        <v>0</v>
      </c>
      <c r="AF40" s="17" t="n">
        <v>0</v>
      </c>
      <c r="AG40" s="17" t="n">
        <v>0</v>
      </c>
      <c r="AH40" s="17" t="n">
        <v>0</v>
      </c>
      <c r="AI40" s="17" t="n">
        <v>0</v>
      </c>
      <c r="AJ40" s="17" t="n">
        <v>0</v>
      </c>
      <c r="AK40" s="17" t="n">
        <v>0</v>
      </c>
      <c r="AL40" s="17" t="n">
        <v>0</v>
      </c>
      <c r="AM40" s="17" t="n">
        <v>0</v>
      </c>
      <c r="AN40" s="17" t="n">
        <v>0</v>
      </c>
      <c r="AO40" s="17" t="n">
        <v>0</v>
      </c>
      <c r="AP40" s="17" t="n">
        <v>0</v>
      </c>
      <c r="AQ40" s="17" t="n">
        <v>0</v>
      </c>
    </row>
    <row r="41" customFormat="false" ht="15" hidden="false" customHeight="false" outlineLevel="0" collapsed="false">
      <c r="A41" s="7" t="s">
        <v>169</v>
      </c>
      <c r="B41" s="17" t="s">
        <v>181</v>
      </c>
      <c r="C41" s="7" t="str">
        <f aca="false">A41&amp;"|"&amp;B41</f>
        <v>lunar_day|2</v>
      </c>
      <c r="D41" s="17" t="n">
        <v>0</v>
      </c>
      <c r="E41" s="17" t="n">
        <v>0</v>
      </c>
      <c r="F41" s="17" t="n">
        <v>0</v>
      </c>
      <c r="G41" s="17" t="n">
        <v>0</v>
      </c>
      <c r="H41" s="17" t="n">
        <v>0</v>
      </c>
      <c r="I41" s="17" t="n">
        <v>0</v>
      </c>
      <c r="J41" s="17" t="n">
        <v>0</v>
      </c>
      <c r="K41" s="17" t="n">
        <v>0</v>
      </c>
      <c r="L41" s="17" t="n">
        <v>0</v>
      </c>
      <c r="M41" s="17" t="n">
        <v>0</v>
      </c>
      <c r="N41" s="17" t="n">
        <v>0</v>
      </c>
      <c r="O41" s="17" t="n">
        <v>0</v>
      </c>
      <c r="P41" s="17" t="n">
        <v>0</v>
      </c>
      <c r="Q41" s="17" t="n">
        <v>0</v>
      </c>
      <c r="R41" s="17" t="n">
        <v>0</v>
      </c>
      <c r="S41" s="17" t="n">
        <v>0</v>
      </c>
      <c r="T41" s="17" t="n">
        <v>0</v>
      </c>
      <c r="U41" s="17" t="n">
        <v>-1</v>
      </c>
      <c r="V41" s="17" t="n">
        <v>0</v>
      </c>
      <c r="W41" s="17" t="n">
        <v>0</v>
      </c>
      <c r="X41" s="17" t="n">
        <v>0</v>
      </c>
      <c r="Y41" s="17" t="n">
        <v>0</v>
      </c>
      <c r="Z41" s="17" t="n">
        <v>0</v>
      </c>
      <c r="AA41" s="17" t="n">
        <v>0</v>
      </c>
      <c r="AB41" s="17" t="n">
        <v>0</v>
      </c>
      <c r="AC41" s="17" t="n">
        <v>0</v>
      </c>
      <c r="AD41" s="17" t="n">
        <v>0</v>
      </c>
      <c r="AE41" s="17" t="n">
        <v>0</v>
      </c>
      <c r="AF41" s="17" t="n">
        <v>0</v>
      </c>
      <c r="AG41" s="17" t="n">
        <v>0</v>
      </c>
      <c r="AH41" s="17" t="n">
        <v>0</v>
      </c>
      <c r="AI41" s="17" t="n">
        <v>0</v>
      </c>
      <c r="AJ41" s="17" t="n">
        <v>0</v>
      </c>
      <c r="AK41" s="17" t="n">
        <v>0</v>
      </c>
      <c r="AL41" s="17" t="n">
        <v>0</v>
      </c>
      <c r="AM41" s="17" t="n">
        <v>0</v>
      </c>
      <c r="AN41" s="17" t="n">
        <v>0</v>
      </c>
      <c r="AO41" s="17" t="n">
        <v>0</v>
      </c>
      <c r="AP41" s="17" t="n">
        <v>0</v>
      </c>
      <c r="AQ41" s="17" t="n">
        <v>0</v>
      </c>
    </row>
    <row r="42" customFormat="false" ht="15" hidden="false" customHeight="false" outlineLevel="0" collapsed="false">
      <c r="A42" s="7" t="s">
        <v>169</v>
      </c>
      <c r="B42" s="17" t="s">
        <v>182</v>
      </c>
      <c r="C42" s="7" t="str">
        <f aca="false">A42&amp;"|"&amp;B42</f>
        <v>lunar_day|20</v>
      </c>
      <c r="D42" s="17" t="n">
        <v>-1</v>
      </c>
      <c r="E42" s="17" t="n">
        <v>0</v>
      </c>
      <c r="F42" s="17" t="n">
        <v>0</v>
      </c>
      <c r="G42" s="17" t="n">
        <v>0</v>
      </c>
      <c r="H42" s="17" t="n">
        <v>0</v>
      </c>
      <c r="I42" s="17" t="n">
        <v>0</v>
      </c>
      <c r="J42" s="17" t="n">
        <v>0</v>
      </c>
      <c r="K42" s="17" t="n">
        <v>0</v>
      </c>
      <c r="L42" s="17" t="n">
        <v>0</v>
      </c>
      <c r="M42" s="17" t="n">
        <v>0</v>
      </c>
      <c r="N42" s="17" t="n">
        <v>0</v>
      </c>
      <c r="O42" s="17" t="n">
        <v>-1</v>
      </c>
      <c r="P42" s="17" t="n">
        <v>0</v>
      </c>
      <c r="Q42" s="17" t="n">
        <v>0</v>
      </c>
      <c r="R42" s="17" t="n">
        <v>0</v>
      </c>
      <c r="S42" s="17" t="n">
        <v>0</v>
      </c>
      <c r="T42" s="17" t="n">
        <v>0</v>
      </c>
      <c r="U42" s="17" t="n">
        <v>0</v>
      </c>
      <c r="V42" s="17" t="n">
        <v>0</v>
      </c>
      <c r="W42" s="17" t="n">
        <v>0</v>
      </c>
      <c r="X42" s="17" t="n">
        <v>0</v>
      </c>
      <c r="Y42" s="17" t="n">
        <v>0</v>
      </c>
      <c r="Z42" s="17" t="n">
        <v>0</v>
      </c>
      <c r="AA42" s="17" t="n">
        <v>0</v>
      </c>
      <c r="AB42" s="17" t="n">
        <v>0</v>
      </c>
      <c r="AC42" s="17" t="n">
        <v>0</v>
      </c>
      <c r="AD42" s="17" t="n">
        <v>0</v>
      </c>
      <c r="AE42" s="17" t="n">
        <v>0</v>
      </c>
      <c r="AF42" s="17" t="n">
        <v>0</v>
      </c>
      <c r="AG42" s="17" t="n">
        <v>0</v>
      </c>
      <c r="AH42" s="17" t="n">
        <v>0</v>
      </c>
      <c r="AI42" s="17" t="n">
        <v>0</v>
      </c>
      <c r="AJ42" s="17" t="n">
        <v>0</v>
      </c>
      <c r="AK42" s="17" t="n">
        <v>0</v>
      </c>
      <c r="AL42" s="17" t="n">
        <v>0</v>
      </c>
      <c r="AM42" s="17" t="n">
        <v>0</v>
      </c>
      <c r="AN42" s="17" t="n">
        <v>0</v>
      </c>
      <c r="AO42" s="17" t="n">
        <v>0</v>
      </c>
      <c r="AP42" s="17" t="n">
        <v>0</v>
      </c>
      <c r="AQ42" s="17" t="n">
        <v>0</v>
      </c>
    </row>
    <row r="43" customFormat="false" ht="15" hidden="false" customHeight="false" outlineLevel="0" collapsed="false">
      <c r="A43" s="7" t="s">
        <v>169</v>
      </c>
      <c r="B43" s="17" t="s">
        <v>183</v>
      </c>
      <c r="C43" s="7" t="str">
        <f aca="false">A43&amp;"|"&amp;B43</f>
        <v>lunar_day|21</v>
      </c>
      <c r="D43" s="17" t="n">
        <v>0</v>
      </c>
      <c r="E43" s="17" t="n">
        <v>0</v>
      </c>
      <c r="F43" s="17" t="n">
        <v>0</v>
      </c>
      <c r="G43" s="17" t="n">
        <v>0</v>
      </c>
      <c r="H43" s="17" t="n">
        <v>0</v>
      </c>
      <c r="I43" s="17" t="n">
        <v>0</v>
      </c>
      <c r="J43" s="17" t="n">
        <v>0</v>
      </c>
      <c r="K43" s="17" t="n">
        <v>0</v>
      </c>
      <c r="L43" s="17" t="n">
        <v>0</v>
      </c>
      <c r="M43" s="17" t="n">
        <v>0</v>
      </c>
      <c r="N43" s="17" t="n">
        <v>0</v>
      </c>
      <c r="O43" s="17" t="n">
        <v>0</v>
      </c>
      <c r="P43" s="17" t="n">
        <v>0</v>
      </c>
      <c r="Q43" s="17" t="n">
        <v>0</v>
      </c>
      <c r="R43" s="17" t="n">
        <v>0</v>
      </c>
      <c r="S43" s="17" t="n">
        <v>0</v>
      </c>
      <c r="T43" s="17" t="n">
        <v>0</v>
      </c>
      <c r="U43" s="17" t="n">
        <v>0</v>
      </c>
      <c r="V43" s="17" t="n">
        <v>0</v>
      </c>
      <c r="W43" s="17" t="n">
        <v>0</v>
      </c>
      <c r="X43" s="17" t="n">
        <v>0</v>
      </c>
      <c r="Y43" s="17" t="n">
        <v>0</v>
      </c>
      <c r="Z43" s="17" t="n">
        <v>0</v>
      </c>
      <c r="AA43" s="17" t="n">
        <v>1</v>
      </c>
      <c r="AB43" s="17" t="n">
        <v>0</v>
      </c>
      <c r="AC43" s="17" t="n">
        <v>0</v>
      </c>
      <c r="AD43" s="17" t="n">
        <v>0</v>
      </c>
      <c r="AE43" s="17" t="n">
        <v>0</v>
      </c>
      <c r="AF43" s="17" t="n">
        <v>0</v>
      </c>
      <c r="AG43" s="17" t="n">
        <v>0</v>
      </c>
      <c r="AH43" s="17" t="n">
        <v>0</v>
      </c>
      <c r="AI43" s="17" t="n">
        <v>0</v>
      </c>
      <c r="AJ43" s="17" t="n">
        <v>0</v>
      </c>
      <c r="AK43" s="17" t="n">
        <v>0</v>
      </c>
      <c r="AL43" s="17" t="n">
        <v>0</v>
      </c>
      <c r="AM43" s="17" t="n">
        <v>0</v>
      </c>
      <c r="AN43" s="17" t="n">
        <v>0</v>
      </c>
      <c r="AO43" s="17" t="n">
        <v>0</v>
      </c>
      <c r="AP43" s="17" t="n">
        <v>0</v>
      </c>
      <c r="AQ43" s="17" t="n">
        <v>0</v>
      </c>
    </row>
    <row r="44" customFormat="false" ht="15" hidden="false" customHeight="false" outlineLevel="0" collapsed="false">
      <c r="A44" s="7" t="s">
        <v>169</v>
      </c>
      <c r="B44" s="17" t="s">
        <v>184</v>
      </c>
      <c r="C44" s="7" t="str">
        <f aca="false">A44&amp;"|"&amp;B44</f>
        <v>lunar_day|22</v>
      </c>
      <c r="D44" s="17" t="n">
        <v>0</v>
      </c>
      <c r="E44" s="17" t="n">
        <v>-1</v>
      </c>
      <c r="F44" s="17" t="n">
        <v>0</v>
      </c>
      <c r="G44" s="17" t="n">
        <v>0</v>
      </c>
      <c r="H44" s="17" t="n">
        <v>0</v>
      </c>
      <c r="I44" s="17" t="n">
        <v>0</v>
      </c>
      <c r="J44" s="17" t="n">
        <v>-1</v>
      </c>
      <c r="K44" s="17" t="n">
        <v>0</v>
      </c>
      <c r="L44" s="17" t="n">
        <v>0</v>
      </c>
      <c r="M44" s="17" t="n">
        <v>0</v>
      </c>
      <c r="N44" s="17" t="n">
        <v>0</v>
      </c>
      <c r="O44" s="17" t="n">
        <v>0</v>
      </c>
      <c r="P44" s="17" t="n">
        <v>0</v>
      </c>
      <c r="Q44" s="17" t="n">
        <v>0</v>
      </c>
      <c r="R44" s="17" t="n">
        <v>0</v>
      </c>
      <c r="S44" s="17" t="n">
        <v>0</v>
      </c>
      <c r="T44" s="17" t="n">
        <v>0</v>
      </c>
      <c r="U44" s="17" t="n">
        <v>0</v>
      </c>
      <c r="V44" s="17" t="n">
        <v>0</v>
      </c>
      <c r="W44" s="17" t="n">
        <v>0</v>
      </c>
      <c r="X44" s="17" t="n">
        <v>0</v>
      </c>
      <c r="Y44" s="17" t="n">
        <v>0</v>
      </c>
      <c r="Z44" s="17" t="n">
        <v>0</v>
      </c>
      <c r="AA44" s="17" t="n">
        <v>0</v>
      </c>
      <c r="AB44" s="17" t="n">
        <v>0</v>
      </c>
      <c r="AC44" s="17" t="n">
        <v>0</v>
      </c>
      <c r="AD44" s="17" t="n">
        <v>0</v>
      </c>
      <c r="AE44" s="17" t="n">
        <v>0</v>
      </c>
      <c r="AF44" s="17" t="n">
        <v>0</v>
      </c>
      <c r="AG44" s="17" t="n">
        <v>0</v>
      </c>
      <c r="AH44" s="17" t="n">
        <v>0</v>
      </c>
      <c r="AI44" s="17" t="n">
        <v>0</v>
      </c>
      <c r="AJ44" s="17" t="n">
        <v>0</v>
      </c>
      <c r="AK44" s="17" t="n">
        <v>0</v>
      </c>
      <c r="AL44" s="17" t="n">
        <v>0</v>
      </c>
      <c r="AM44" s="17" t="n">
        <v>0</v>
      </c>
      <c r="AN44" s="17" t="n">
        <v>-1</v>
      </c>
      <c r="AO44" s="17" t="n">
        <v>0</v>
      </c>
      <c r="AP44" s="17" t="n">
        <v>0</v>
      </c>
      <c r="AQ44" s="17" t="n">
        <v>0</v>
      </c>
    </row>
    <row r="45" customFormat="false" ht="15" hidden="false" customHeight="false" outlineLevel="0" collapsed="false">
      <c r="A45" s="7" t="s">
        <v>169</v>
      </c>
      <c r="B45" s="17" t="s">
        <v>185</v>
      </c>
      <c r="C45" s="7" t="str">
        <f aca="false">A45&amp;"|"&amp;B45</f>
        <v>lunar_day|23</v>
      </c>
      <c r="D45" s="17" t="n">
        <v>0</v>
      </c>
      <c r="E45" s="17" t="n">
        <v>0</v>
      </c>
      <c r="F45" s="17" t="n">
        <v>0</v>
      </c>
      <c r="G45" s="17" t="n">
        <v>0</v>
      </c>
      <c r="H45" s="17" t="n">
        <v>0</v>
      </c>
      <c r="I45" s="17" t="n">
        <v>0</v>
      </c>
      <c r="J45" s="17" t="n">
        <v>0</v>
      </c>
      <c r="K45" s="17" t="n">
        <v>0</v>
      </c>
      <c r="L45" s="17" t="n">
        <v>0</v>
      </c>
      <c r="M45" s="17" t="n">
        <v>0</v>
      </c>
      <c r="N45" s="17" t="n">
        <v>0</v>
      </c>
      <c r="O45" s="17" t="n">
        <v>0</v>
      </c>
      <c r="P45" s="17" t="n">
        <v>0</v>
      </c>
      <c r="Q45" s="17" t="n">
        <v>0</v>
      </c>
      <c r="R45" s="17" t="n">
        <v>0</v>
      </c>
      <c r="S45" s="17" t="n">
        <v>0</v>
      </c>
      <c r="T45" s="17" t="n">
        <v>0</v>
      </c>
      <c r="U45" s="17" t="n">
        <v>0</v>
      </c>
      <c r="V45" s="17" t="n">
        <v>0</v>
      </c>
      <c r="W45" s="17" t="n">
        <v>0</v>
      </c>
      <c r="X45" s="17" t="n">
        <v>0</v>
      </c>
      <c r="Y45" s="17" t="n">
        <v>0</v>
      </c>
      <c r="Z45" s="17" t="n">
        <v>0</v>
      </c>
      <c r="AA45" s="17" t="n">
        <v>0</v>
      </c>
      <c r="AB45" s="17" t="n">
        <v>0</v>
      </c>
      <c r="AC45" s="17" t="n">
        <v>0</v>
      </c>
      <c r="AD45" s="17" t="n">
        <v>0</v>
      </c>
      <c r="AE45" s="17" t="n">
        <v>0</v>
      </c>
      <c r="AF45" s="17" t="n">
        <v>-1</v>
      </c>
      <c r="AG45" s="17" t="n">
        <v>0</v>
      </c>
      <c r="AH45" s="17" t="n">
        <v>0</v>
      </c>
      <c r="AI45" s="17" t="n">
        <v>0</v>
      </c>
      <c r="AJ45" s="17" t="n">
        <v>0</v>
      </c>
      <c r="AK45" s="17" t="n">
        <v>0</v>
      </c>
      <c r="AL45" s="17" t="n">
        <v>0</v>
      </c>
      <c r="AM45" s="17" t="n">
        <v>0</v>
      </c>
      <c r="AN45" s="17" t="n">
        <v>0</v>
      </c>
      <c r="AO45" s="17" t="n">
        <v>0</v>
      </c>
      <c r="AP45" s="17" t="n">
        <v>0</v>
      </c>
      <c r="AQ45" s="17" t="n">
        <v>0</v>
      </c>
    </row>
    <row r="46" customFormat="false" ht="15" hidden="false" customHeight="false" outlineLevel="0" collapsed="false">
      <c r="A46" s="7" t="s">
        <v>169</v>
      </c>
      <c r="B46" s="17" t="s">
        <v>186</v>
      </c>
      <c r="C46" s="7" t="str">
        <f aca="false">A46&amp;"|"&amp;B46</f>
        <v>lunar_day|24</v>
      </c>
      <c r="D46" s="17" t="n">
        <v>0</v>
      </c>
      <c r="E46" s="17" t="n">
        <v>0</v>
      </c>
      <c r="F46" s="17" t="n">
        <v>0</v>
      </c>
      <c r="G46" s="17" t="n">
        <v>0</v>
      </c>
      <c r="H46" s="17" t="n">
        <v>0</v>
      </c>
      <c r="I46" s="17" t="n">
        <v>0</v>
      </c>
      <c r="J46" s="17" t="n">
        <v>0</v>
      </c>
      <c r="K46" s="17" t="n">
        <v>0</v>
      </c>
      <c r="L46" s="17" t="n">
        <v>0</v>
      </c>
      <c r="M46" s="17" t="n">
        <v>0</v>
      </c>
      <c r="N46" s="17" t="n">
        <v>0</v>
      </c>
      <c r="O46" s="17" t="n">
        <v>0</v>
      </c>
      <c r="P46" s="17" t="n">
        <v>0</v>
      </c>
      <c r="Q46" s="17" t="n">
        <v>0</v>
      </c>
      <c r="R46" s="17" t="n">
        <v>0</v>
      </c>
      <c r="S46" s="17" t="n">
        <v>0</v>
      </c>
      <c r="T46" s="17" t="n">
        <v>0</v>
      </c>
      <c r="U46" s="17" t="n">
        <v>0</v>
      </c>
      <c r="V46" s="17" t="n">
        <v>0</v>
      </c>
      <c r="W46" s="17" t="n">
        <v>0</v>
      </c>
      <c r="X46" s="17" t="n">
        <v>0</v>
      </c>
      <c r="Y46" s="17" t="n">
        <v>0</v>
      </c>
      <c r="Z46" s="17" t="n">
        <v>0</v>
      </c>
      <c r="AA46" s="17" t="n">
        <v>0</v>
      </c>
      <c r="AB46" s="17" t="n">
        <v>0</v>
      </c>
      <c r="AC46" s="17" t="n">
        <v>0</v>
      </c>
      <c r="AD46" s="17" t="n">
        <v>0</v>
      </c>
      <c r="AE46" s="17" t="n">
        <v>0</v>
      </c>
      <c r="AF46" s="17" t="n">
        <v>0</v>
      </c>
      <c r="AG46" s="17" t="n">
        <v>0</v>
      </c>
      <c r="AH46" s="17" t="n">
        <v>0</v>
      </c>
      <c r="AI46" s="17" t="n">
        <v>0</v>
      </c>
      <c r="AJ46" s="17" t="n">
        <v>0</v>
      </c>
      <c r="AK46" s="17" t="n">
        <v>0</v>
      </c>
      <c r="AL46" s="17" t="n">
        <v>0</v>
      </c>
      <c r="AM46" s="17" t="n">
        <v>0</v>
      </c>
      <c r="AN46" s="17" t="n">
        <v>0</v>
      </c>
      <c r="AO46" s="17" t="n">
        <v>0</v>
      </c>
      <c r="AP46" s="17" t="n">
        <v>0</v>
      </c>
      <c r="AQ46" s="17" t="n">
        <v>0</v>
      </c>
    </row>
    <row r="47" customFormat="false" ht="15" hidden="false" customHeight="false" outlineLevel="0" collapsed="false">
      <c r="A47" s="7" t="s">
        <v>169</v>
      </c>
      <c r="B47" s="17" t="s">
        <v>187</v>
      </c>
      <c r="C47" s="7" t="str">
        <f aca="false">A47&amp;"|"&amp;B47</f>
        <v>lunar_day|25</v>
      </c>
      <c r="D47" s="17" t="n">
        <v>0</v>
      </c>
      <c r="E47" s="17" t="n">
        <v>0</v>
      </c>
      <c r="F47" s="17" t="n">
        <v>0</v>
      </c>
      <c r="G47" s="17" t="n">
        <v>0</v>
      </c>
      <c r="H47" s="17" t="n">
        <v>0</v>
      </c>
      <c r="I47" s="17" t="n">
        <v>0</v>
      </c>
      <c r="J47" s="17" t="n">
        <v>0</v>
      </c>
      <c r="K47" s="17" t="n">
        <v>0</v>
      </c>
      <c r="L47" s="17" t="n">
        <v>0</v>
      </c>
      <c r="M47" s="17" t="n">
        <v>0</v>
      </c>
      <c r="N47" s="17" t="n">
        <v>0</v>
      </c>
      <c r="O47" s="17" t="n">
        <v>0</v>
      </c>
      <c r="P47" s="17" t="n">
        <v>-1</v>
      </c>
      <c r="Q47" s="17" t="n">
        <v>1</v>
      </c>
      <c r="R47" s="17" t="n">
        <v>0</v>
      </c>
      <c r="S47" s="17" t="n">
        <v>0</v>
      </c>
      <c r="T47" s="17" t="n">
        <v>0</v>
      </c>
      <c r="U47" s="17" t="n">
        <v>0</v>
      </c>
      <c r="V47" s="17" t="n">
        <v>0</v>
      </c>
      <c r="W47" s="17" t="n">
        <v>0</v>
      </c>
      <c r="X47" s="17" t="n">
        <v>1</v>
      </c>
      <c r="Y47" s="17" t="n">
        <v>0</v>
      </c>
      <c r="Z47" s="17" t="n">
        <v>0</v>
      </c>
      <c r="AA47" s="17" t="n">
        <v>0</v>
      </c>
      <c r="AB47" s="17" t="n">
        <v>0</v>
      </c>
      <c r="AC47" s="17" t="n">
        <v>0</v>
      </c>
      <c r="AD47" s="17" t="n">
        <v>0</v>
      </c>
      <c r="AE47" s="17" t="n">
        <v>-1</v>
      </c>
      <c r="AF47" s="17" t="n">
        <v>0</v>
      </c>
      <c r="AG47" s="17" t="n">
        <v>0</v>
      </c>
      <c r="AH47" s="17" t="n">
        <v>0</v>
      </c>
      <c r="AI47" s="17" t="n">
        <v>0</v>
      </c>
      <c r="AJ47" s="17" t="n">
        <v>0</v>
      </c>
      <c r="AK47" s="17" t="n">
        <v>0</v>
      </c>
      <c r="AL47" s="17" t="n">
        <v>0</v>
      </c>
      <c r="AM47" s="17" t="n">
        <v>0</v>
      </c>
      <c r="AN47" s="17" t="n">
        <v>0</v>
      </c>
      <c r="AO47" s="17" t="n">
        <v>0</v>
      </c>
      <c r="AP47" s="17" t="n">
        <v>0</v>
      </c>
      <c r="AQ47" s="17" t="n">
        <v>0</v>
      </c>
    </row>
    <row r="48" customFormat="false" ht="15" hidden="false" customHeight="false" outlineLevel="0" collapsed="false">
      <c r="A48" s="7" t="s">
        <v>169</v>
      </c>
      <c r="B48" s="17" t="s">
        <v>188</v>
      </c>
      <c r="C48" s="7" t="str">
        <f aca="false">A48&amp;"|"&amp;B48</f>
        <v>lunar_day|26</v>
      </c>
      <c r="D48" s="17" t="n">
        <v>0</v>
      </c>
      <c r="E48" s="17" t="n">
        <v>0</v>
      </c>
      <c r="F48" s="17" t="n">
        <v>0</v>
      </c>
      <c r="G48" s="17" t="n">
        <v>0</v>
      </c>
      <c r="H48" s="17" t="n">
        <v>0</v>
      </c>
      <c r="I48" s="17" t="n">
        <v>0</v>
      </c>
      <c r="J48" s="17" t="n">
        <v>0</v>
      </c>
      <c r="K48" s="17" t="n">
        <v>-1</v>
      </c>
      <c r="L48" s="17" t="n">
        <v>0</v>
      </c>
      <c r="M48" s="17" t="n">
        <v>0</v>
      </c>
      <c r="N48" s="17" t="n">
        <v>0</v>
      </c>
      <c r="O48" s="17" t="n">
        <v>0</v>
      </c>
      <c r="P48" s="17" t="n">
        <v>0</v>
      </c>
      <c r="Q48" s="17" t="n">
        <v>-1</v>
      </c>
      <c r="R48" s="17" t="n">
        <v>0</v>
      </c>
      <c r="S48" s="17" t="n">
        <v>0</v>
      </c>
      <c r="T48" s="17" t="n">
        <v>0</v>
      </c>
      <c r="U48" s="17" t="n">
        <v>0</v>
      </c>
      <c r="V48" s="17" t="n">
        <v>0</v>
      </c>
      <c r="W48" s="17" t="n">
        <v>0</v>
      </c>
      <c r="X48" s="17" t="n">
        <v>0</v>
      </c>
      <c r="Y48" s="17" t="n">
        <v>0</v>
      </c>
      <c r="Z48" s="17" t="n">
        <v>0</v>
      </c>
      <c r="AA48" s="17" t="n">
        <v>0</v>
      </c>
      <c r="AB48" s="17" t="n">
        <v>0</v>
      </c>
      <c r="AC48" s="17" t="n">
        <v>0</v>
      </c>
      <c r="AD48" s="17" t="n">
        <v>0</v>
      </c>
      <c r="AE48" s="17" t="n">
        <v>0</v>
      </c>
      <c r="AF48" s="17" t="n">
        <v>0</v>
      </c>
      <c r="AG48" s="17" t="n">
        <v>0</v>
      </c>
      <c r="AH48" s="17" t="n">
        <v>0</v>
      </c>
      <c r="AI48" s="17" t="n">
        <v>0</v>
      </c>
      <c r="AJ48" s="17" t="n">
        <v>0</v>
      </c>
      <c r="AK48" s="17" t="n">
        <v>0</v>
      </c>
      <c r="AL48" s="17" t="n">
        <v>0</v>
      </c>
      <c r="AM48" s="17" t="n">
        <v>0</v>
      </c>
      <c r="AN48" s="17" t="n">
        <v>0</v>
      </c>
      <c r="AO48" s="17" t="n">
        <v>0</v>
      </c>
      <c r="AP48" s="17" t="n">
        <v>0</v>
      </c>
      <c r="AQ48" s="17" t="n">
        <v>0</v>
      </c>
    </row>
    <row r="49" customFormat="false" ht="15" hidden="false" customHeight="false" outlineLevel="0" collapsed="false">
      <c r="A49" s="7" t="s">
        <v>169</v>
      </c>
      <c r="B49" s="17" t="s">
        <v>189</v>
      </c>
      <c r="C49" s="7" t="str">
        <f aca="false">A49&amp;"|"&amp;B49</f>
        <v>lunar_day|27</v>
      </c>
      <c r="D49" s="17" t="n">
        <v>0</v>
      </c>
      <c r="E49" s="17" t="n">
        <v>0</v>
      </c>
      <c r="F49" s="17" t="n">
        <v>0</v>
      </c>
      <c r="G49" s="17" t="n">
        <v>0</v>
      </c>
      <c r="H49" s="17" t="n">
        <v>0</v>
      </c>
      <c r="I49" s="17" t="n">
        <v>0</v>
      </c>
      <c r="J49" s="17" t="n">
        <v>0</v>
      </c>
      <c r="K49" s="17" t="n">
        <v>0</v>
      </c>
      <c r="L49" s="17" t="n">
        <v>0</v>
      </c>
      <c r="M49" s="17" t="n">
        <v>0</v>
      </c>
      <c r="N49" s="17" t="n">
        <v>0</v>
      </c>
      <c r="O49" s="17" t="n">
        <v>0</v>
      </c>
      <c r="P49" s="17" t="n">
        <v>0</v>
      </c>
      <c r="Q49" s="17" t="n">
        <v>0</v>
      </c>
      <c r="R49" s="17" t="n">
        <v>0</v>
      </c>
      <c r="S49" s="17" t="n">
        <v>0</v>
      </c>
      <c r="T49" s="17" t="n">
        <v>0</v>
      </c>
      <c r="U49" s="17" t="n">
        <v>0</v>
      </c>
      <c r="V49" s="17" t="n">
        <v>0</v>
      </c>
      <c r="W49" s="17" t="n">
        <v>0</v>
      </c>
      <c r="X49" s="17" t="n">
        <v>0</v>
      </c>
      <c r="Y49" s="17" t="n">
        <v>0</v>
      </c>
      <c r="Z49" s="17" t="n">
        <v>0</v>
      </c>
      <c r="AA49" s="17" t="n">
        <v>0</v>
      </c>
      <c r="AB49" s="17" t="n">
        <v>0</v>
      </c>
      <c r="AC49" s="17" t="n">
        <v>0</v>
      </c>
      <c r="AD49" s="17" t="n">
        <v>0</v>
      </c>
      <c r="AE49" s="17" t="n">
        <v>0</v>
      </c>
      <c r="AF49" s="17" t="n">
        <v>0</v>
      </c>
      <c r="AG49" s="17" t="n">
        <v>0</v>
      </c>
      <c r="AH49" s="17" t="n">
        <v>0</v>
      </c>
      <c r="AI49" s="17" t="n">
        <v>0</v>
      </c>
      <c r="AJ49" s="17" t="n">
        <v>0</v>
      </c>
      <c r="AK49" s="17" t="n">
        <v>0</v>
      </c>
      <c r="AL49" s="17" t="n">
        <v>0</v>
      </c>
      <c r="AM49" s="17" t="n">
        <v>0</v>
      </c>
      <c r="AN49" s="17" t="n">
        <v>0</v>
      </c>
      <c r="AO49" s="17" t="n">
        <v>0</v>
      </c>
      <c r="AP49" s="17" t="n">
        <v>0</v>
      </c>
      <c r="AQ49" s="17" t="n">
        <v>0</v>
      </c>
    </row>
    <row r="50" customFormat="false" ht="15" hidden="false" customHeight="false" outlineLevel="0" collapsed="false">
      <c r="A50" s="7" t="s">
        <v>169</v>
      </c>
      <c r="B50" s="17" t="s">
        <v>190</v>
      </c>
      <c r="C50" s="7" t="str">
        <f aca="false">A50&amp;"|"&amp;B50</f>
        <v>lunar_day|28</v>
      </c>
      <c r="D50" s="17" t="n">
        <v>0</v>
      </c>
      <c r="E50" s="17" t="n">
        <v>0</v>
      </c>
      <c r="F50" s="17" t="n">
        <v>0</v>
      </c>
      <c r="G50" s="17" t="n">
        <v>0</v>
      </c>
      <c r="H50" s="17" t="n">
        <v>0</v>
      </c>
      <c r="I50" s="17" t="n">
        <v>0</v>
      </c>
      <c r="J50" s="17" t="n">
        <v>0</v>
      </c>
      <c r="K50" s="17" t="n">
        <v>0</v>
      </c>
      <c r="L50" s="17" t="n">
        <v>0</v>
      </c>
      <c r="M50" s="17" t="n">
        <v>0</v>
      </c>
      <c r="N50" s="17" t="n">
        <v>0</v>
      </c>
      <c r="O50" s="17" t="n">
        <v>0</v>
      </c>
      <c r="P50" s="17" t="n">
        <v>0</v>
      </c>
      <c r="Q50" s="17" t="n">
        <v>1</v>
      </c>
      <c r="R50" s="17" t="n">
        <v>0</v>
      </c>
      <c r="S50" s="17" t="n">
        <v>0</v>
      </c>
      <c r="T50" s="17" t="n">
        <v>0</v>
      </c>
      <c r="U50" s="17" t="n">
        <v>0</v>
      </c>
      <c r="V50" s="17" t="n">
        <v>0</v>
      </c>
      <c r="W50" s="17" t="n">
        <v>0</v>
      </c>
      <c r="X50" s="17" t="n">
        <v>0</v>
      </c>
      <c r="Y50" s="17" t="n">
        <v>0</v>
      </c>
      <c r="Z50" s="17" t="n">
        <v>0</v>
      </c>
      <c r="AA50" s="17" t="n">
        <v>0</v>
      </c>
      <c r="AB50" s="17" t="n">
        <v>0</v>
      </c>
      <c r="AC50" s="17" t="n">
        <v>0</v>
      </c>
      <c r="AD50" s="17" t="n">
        <v>0</v>
      </c>
      <c r="AE50" s="17" t="n">
        <v>0</v>
      </c>
      <c r="AF50" s="17" t="n">
        <v>0</v>
      </c>
      <c r="AG50" s="17" t="n">
        <v>0</v>
      </c>
      <c r="AH50" s="17" t="n">
        <v>0</v>
      </c>
      <c r="AI50" s="17" t="n">
        <v>0</v>
      </c>
      <c r="AJ50" s="17" t="n">
        <v>0</v>
      </c>
      <c r="AK50" s="17" t="n">
        <v>0</v>
      </c>
      <c r="AL50" s="17" t="n">
        <v>0</v>
      </c>
      <c r="AM50" s="17" t="n">
        <v>0</v>
      </c>
      <c r="AN50" s="17" t="n">
        <v>0</v>
      </c>
      <c r="AO50" s="17" t="n">
        <v>0</v>
      </c>
      <c r="AP50" s="17" t="n">
        <v>0</v>
      </c>
      <c r="AQ50" s="17" t="n">
        <v>0</v>
      </c>
    </row>
    <row r="51" customFormat="false" ht="15" hidden="false" customHeight="false" outlineLevel="0" collapsed="false">
      <c r="A51" s="7" t="s">
        <v>169</v>
      </c>
      <c r="B51" s="17" t="s">
        <v>191</v>
      </c>
      <c r="C51" s="7" t="str">
        <f aca="false">A51&amp;"|"&amp;B51</f>
        <v>lunar_day|29</v>
      </c>
      <c r="D51" s="17" t="n">
        <v>0</v>
      </c>
      <c r="E51" s="17" t="n">
        <v>0</v>
      </c>
      <c r="F51" s="17" t="n">
        <v>0</v>
      </c>
      <c r="G51" s="17" t="n">
        <v>0</v>
      </c>
      <c r="H51" s="17" t="n">
        <v>0</v>
      </c>
      <c r="I51" s="17" t="n">
        <v>0</v>
      </c>
      <c r="J51" s="17" t="n">
        <v>0</v>
      </c>
      <c r="K51" s="17" t="n">
        <v>0</v>
      </c>
      <c r="L51" s="17" t="n">
        <v>0</v>
      </c>
      <c r="M51" s="17" t="n">
        <v>0</v>
      </c>
      <c r="N51" s="17" t="n">
        <v>0</v>
      </c>
      <c r="O51" s="17" t="n">
        <v>0</v>
      </c>
      <c r="P51" s="17" t="n">
        <v>0</v>
      </c>
      <c r="Q51" s="17" t="n">
        <v>0</v>
      </c>
      <c r="R51" s="17" t="n">
        <v>0</v>
      </c>
      <c r="S51" s="17" t="n">
        <v>0</v>
      </c>
      <c r="T51" s="17" t="n">
        <v>0</v>
      </c>
      <c r="U51" s="17" t="n">
        <v>0</v>
      </c>
      <c r="V51" s="17" t="n">
        <v>1</v>
      </c>
      <c r="W51" s="17" t="n">
        <v>0</v>
      </c>
      <c r="X51" s="17" t="n">
        <v>0</v>
      </c>
      <c r="Y51" s="17" t="n">
        <v>1</v>
      </c>
      <c r="Z51" s="17" t="n">
        <v>-1</v>
      </c>
      <c r="AA51" s="17" t="n">
        <v>0</v>
      </c>
      <c r="AB51" s="17" t="n">
        <v>0</v>
      </c>
      <c r="AC51" s="17" t="n">
        <v>0</v>
      </c>
      <c r="AD51" s="17" t="n">
        <v>0</v>
      </c>
      <c r="AE51" s="17" t="n">
        <v>0</v>
      </c>
      <c r="AF51" s="17" t="n">
        <v>0</v>
      </c>
      <c r="AG51" s="17" t="n">
        <v>0</v>
      </c>
      <c r="AH51" s="17" t="n">
        <v>0</v>
      </c>
      <c r="AI51" s="17" t="n">
        <v>0</v>
      </c>
      <c r="AJ51" s="17" t="n">
        <v>0</v>
      </c>
      <c r="AK51" s="17" t="n">
        <v>0</v>
      </c>
      <c r="AL51" s="17" t="n">
        <v>0</v>
      </c>
      <c r="AM51" s="17" t="n">
        <v>0</v>
      </c>
      <c r="AN51" s="17" t="n">
        <v>0</v>
      </c>
      <c r="AO51" s="17" t="n">
        <v>0</v>
      </c>
      <c r="AP51" s="17" t="n">
        <v>0</v>
      </c>
      <c r="AQ51" s="17" t="n">
        <v>0</v>
      </c>
    </row>
    <row r="52" customFormat="false" ht="15" hidden="false" customHeight="false" outlineLevel="0" collapsed="false">
      <c r="A52" s="7" t="s">
        <v>169</v>
      </c>
      <c r="B52" s="17" t="s">
        <v>192</v>
      </c>
      <c r="C52" s="7" t="str">
        <f aca="false">A52&amp;"|"&amp;B52</f>
        <v>lunar_day|3</v>
      </c>
      <c r="D52" s="17" t="n">
        <v>0</v>
      </c>
      <c r="E52" s="17" t="n">
        <v>0</v>
      </c>
      <c r="F52" s="17" t="n">
        <v>0</v>
      </c>
      <c r="G52" s="17" t="n">
        <v>0</v>
      </c>
      <c r="H52" s="17" t="n">
        <v>0</v>
      </c>
      <c r="I52" s="17" t="n">
        <v>0</v>
      </c>
      <c r="J52" s="17" t="n">
        <v>0</v>
      </c>
      <c r="K52" s="17" t="n">
        <v>0</v>
      </c>
      <c r="L52" s="17" t="n">
        <v>-1</v>
      </c>
      <c r="M52" s="17" t="n">
        <v>1</v>
      </c>
      <c r="N52" s="17" t="n">
        <v>0</v>
      </c>
      <c r="O52" s="17" t="n">
        <v>0</v>
      </c>
      <c r="P52" s="17" t="n">
        <v>0</v>
      </c>
      <c r="Q52" s="17" t="n">
        <v>0</v>
      </c>
      <c r="R52" s="17" t="n">
        <v>0</v>
      </c>
      <c r="S52" s="17" t="n">
        <v>0</v>
      </c>
      <c r="T52" s="17" t="n">
        <v>0</v>
      </c>
      <c r="U52" s="17" t="n">
        <v>0</v>
      </c>
      <c r="V52" s="17" t="n">
        <v>0</v>
      </c>
      <c r="W52" s="17" t="n">
        <v>0</v>
      </c>
      <c r="X52" s="17" t="n">
        <v>0</v>
      </c>
      <c r="Y52" s="17" t="n">
        <v>0</v>
      </c>
      <c r="Z52" s="17" t="n">
        <v>0</v>
      </c>
      <c r="AA52" s="17" t="n">
        <v>0</v>
      </c>
      <c r="AB52" s="17" t="n">
        <v>0</v>
      </c>
      <c r="AC52" s="17" t="n">
        <v>0</v>
      </c>
      <c r="AD52" s="17" t="n">
        <v>0</v>
      </c>
      <c r="AE52" s="17" t="n">
        <v>0</v>
      </c>
      <c r="AF52" s="17" t="n">
        <v>0</v>
      </c>
      <c r="AG52" s="17" t="n">
        <v>0</v>
      </c>
      <c r="AH52" s="17" t="n">
        <v>0</v>
      </c>
      <c r="AI52" s="17" t="n">
        <v>0</v>
      </c>
      <c r="AJ52" s="17" t="n">
        <v>0</v>
      </c>
      <c r="AK52" s="17" t="n">
        <v>0</v>
      </c>
      <c r="AL52" s="17" t="n">
        <v>0</v>
      </c>
      <c r="AM52" s="17" t="n">
        <v>0</v>
      </c>
      <c r="AN52" s="17" t="n">
        <v>0</v>
      </c>
      <c r="AO52" s="17" t="n">
        <v>0</v>
      </c>
      <c r="AP52" s="17" t="n">
        <v>0</v>
      </c>
      <c r="AQ52" s="17" t="n">
        <v>0</v>
      </c>
    </row>
    <row r="53" customFormat="false" ht="15" hidden="false" customHeight="false" outlineLevel="0" collapsed="false">
      <c r="A53" s="7" t="s">
        <v>169</v>
      </c>
      <c r="B53" s="17" t="s">
        <v>193</v>
      </c>
      <c r="C53" s="7" t="str">
        <f aca="false">A53&amp;"|"&amp;B53</f>
        <v>lunar_day|30</v>
      </c>
      <c r="D53" s="17" t="n">
        <v>0</v>
      </c>
      <c r="E53" s="17" t="n">
        <v>0</v>
      </c>
      <c r="F53" s="17" t="n">
        <v>0</v>
      </c>
      <c r="G53" s="17" t="n">
        <v>0</v>
      </c>
      <c r="H53" s="17" t="n">
        <v>0</v>
      </c>
      <c r="I53" s="17" t="n">
        <v>0</v>
      </c>
      <c r="J53" s="17" t="n">
        <v>0</v>
      </c>
      <c r="K53" s="17" t="n">
        <v>0</v>
      </c>
      <c r="L53" s="17" t="n">
        <v>0</v>
      </c>
      <c r="M53" s="17" t="n">
        <v>0</v>
      </c>
      <c r="N53" s="17" t="n">
        <v>0</v>
      </c>
      <c r="O53" s="17" t="n">
        <v>0</v>
      </c>
      <c r="P53" s="17" t="n">
        <v>0</v>
      </c>
      <c r="Q53" s="17" t="n">
        <v>0</v>
      </c>
      <c r="R53" s="17" t="n">
        <v>1</v>
      </c>
      <c r="S53" s="17" t="n">
        <v>0</v>
      </c>
      <c r="T53" s="17" t="n">
        <v>0</v>
      </c>
      <c r="U53" s="17" t="n">
        <v>0</v>
      </c>
      <c r="V53" s="17" t="n">
        <v>0</v>
      </c>
      <c r="W53" s="17" t="n">
        <v>0</v>
      </c>
      <c r="X53" s="17" t="n">
        <v>0</v>
      </c>
      <c r="Y53" s="17" t="n">
        <v>0</v>
      </c>
      <c r="Z53" s="17" t="n">
        <v>0</v>
      </c>
      <c r="AA53" s="17" t="n">
        <v>0</v>
      </c>
      <c r="AB53" s="17" t="n">
        <v>0</v>
      </c>
      <c r="AC53" s="17" t="n">
        <v>0</v>
      </c>
      <c r="AD53" s="17" t="n">
        <v>0</v>
      </c>
      <c r="AE53" s="17" t="n">
        <v>0</v>
      </c>
      <c r="AF53" s="17" t="n">
        <v>0</v>
      </c>
      <c r="AG53" s="17" t="n">
        <v>0</v>
      </c>
      <c r="AH53" s="17" t="n">
        <v>0</v>
      </c>
      <c r="AI53" s="17" t="n">
        <v>0</v>
      </c>
      <c r="AJ53" s="17" t="n">
        <v>0</v>
      </c>
      <c r="AK53" s="17" t="n">
        <v>0</v>
      </c>
      <c r="AL53" s="17" t="n">
        <v>0</v>
      </c>
      <c r="AM53" s="17" t="n">
        <v>0</v>
      </c>
      <c r="AN53" s="17" t="n">
        <v>0</v>
      </c>
      <c r="AO53" s="17" t="n">
        <v>-1</v>
      </c>
      <c r="AP53" s="17" t="n">
        <v>0</v>
      </c>
      <c r="AQ53" s="17" t="n">
        <v>0</v>
      </c>
    </row>
    <row r="54" customFormat="false" ht="15" hidden="false" customHeight="false" outlineLevel="0" collapsed="false">
      <c r="A54" s="7" t="s">
        <v>169</v>
      </c>
      <c r="B54" s="17" t="s">
        <v>194</v>
      </c>
      <c r="C54" s="7" t="str">
        <f aca="false">A54&amp;"|"&amp;B54</f>
        <v>lunar_day|4</v>
      </c>
      <c r="D54" s="17" t="n">
        <v>0</v>
      </c>
      <c r="E54" s="17" t="n">
        <v>0</v>
      </c>
      <c r="F54" s="17" t="n">
        <v>0</v>
      </c>
      <c r="G54" s="17" t="n">
        <v>0</v>
      </c>
      <c r="H54" s="17" t="n">
        <v>0</v>
      </c>
      <c r="I54" s="17" t="n">
        <v>0</v>
      </c>
      <c r="J54" s="17" t="n">
        <v>0</v>
      </c>
      <c r="K54" s="17" t="n">
        <v>0</v>
      </c>
      <c r="L54" s="17" t="n">
        <v>0</v>
      </c>
      <c r="M54" s="17" t="n">
        <v>0</v>
      </c>
      <c r="N54" s="17" t="n">
        <v>0</v>
      </c>
      <c r="O54" s="17" t="n">
        <v>0</v>
      </c>
      <c r="P54" s="17" t="n">
        <v>0</v>
      </c>
      <c r="Q54" s="17" t="n">
        <v>0</v>
      </c>
      <c r="R54" s="17" t="n">
        <v>0</v>
      </c>
      <c r="S54" s="17" t="n">
        <v>0</v>
      </c>
      <c r="T54" s="17" t="n">
        <v>0</v>
      </c>
      <c r="U54" s="17" t="n">
        <v>0</v>
      </c>
      <c r="V54" s="17" t="n">
        <v>0</v>
      </c>
      <c r="W54" s="17" t="n">
        <v>0</v>
      </c>
      <c r="X54" s="17" t="n">
        <v>0</v>
      </c>
      <c r="Y54" s="17" t="n">
        <v>0</v>
      </c>
      <c r="Z54" s="17" t="n">
        <v>0</v>
      </c>
      <c r="AA54" s="17" t="n">
        <v>0</v>
      </c>
      <c r="AB54" s="17" t="n">
        <v>0</v>
      </c>
      <c r="AC54" s="17" t="n">
        <v>0</v>
      </c>
      <c r="AD54" s="17" t="n">
        <v>0</v>
      </c>
      <c r="AE54" s="17" t="n">
        <v>0</v>
      </c>
      <c r="AF54" s="17" t="n">
        <v>0</v>
      </c>
      <c r="AG54" s="17" t="n">
        <v>0</v>
      </c>
      <c r="AH54" s="17" t="n">
        <v>0</v>
      </c>
      <c r="AI54" s="17" t="n">
        <v>0</v>
      </c>
      <c r="AJ54" s="17" t="n">
        <v>0</v>
      </c>
      <c r="AK54" s="17" t="n">
        <v>0</v>
      </c>
      <c r="AL54" s="17" t="n">
        <v>0</v>
      </c>
      <c r="AM54" s="17" t="n">
        <v>0</v>
      </c>
      <c r="AN54" s="17" t="n">
        <v>0</v>
      </c>
      <c r="AO54" s="17" t="n">
        <v>1</v>
      </c>
      <c r="AP54" s="17" t="n">
        <v>0</v>
      </c>
      <c r="AQ54" s="17" t="n">
        <v>0</v>
      </c>
    </row>
    <row r="55" customFormat="false" ht="15" hidden="false" customHeight="false" outlineLevel="0" collapsed="false">
      <c r="A55" s="7" t="s">
        <v>169</v>
      </c>
      <c r="B55" s="17" t="s">
        <v>195</v>
      </c>
      <c r="C55" s="7" t="str">
        <f aca="false">A55&amp;"|"&amp;B55</f>
        <v>lunar_day|5</v>
      </c>
      <c r="D55" s="17" t="n">
        <v>0</v>
      </c>
      <c r="E55" s="17" t="n">
        <v>0</v>
      </c>
      <c r="F55" s="17" t="n">
        <v>0</v>
      </c>
      <c r="G55" s="17" t="n">
        <v>0</v>
      </c>
      <c r="H55" s="17" t="n">
        <v>0</v>
      </c>
      <c r="I55" s="17" t="n">
        <v>0</v>
      </c>
      <c r="J55" s="17" t="n">
        <v>0</v>
      </c>
      <c r="K55" s="17" t="n">
        <v>0</v>
      </c>
      <c r="L55" s="17" t="n">
        <v>0</v>
      </c>
      <c r="M55" s="17" t="n">
        <v>0</v>
      </c>
      <c r="N55" s="17" t="n">
        <v>0</v>
      </c>
      <c r="O55" s="17" t="n">
        <v>0</v>
      </c>
      <c r="P55" s="17" t="n">
        <v>-1</v>
      </c>
      <c r="Q55" s="17" t="n">
        <v>0</v>
      </c>
      <c r="R55" s="17" t="n">
        <v>0</v>
      </c>
      <c r="S55" s="17" t="n">
        <v>-1</v>
      </c>
      <c r="T55" s="17" t="n">
        <v>0</v>
      </c>
      <c r="U55" s="17" t="n">
        <v>0</v>
      </c>
      <c r="V55" s="17" t="n">
        <v>0</v>
      </c>
      <c r="W55" s="17" t="n">
        <v>0</v>
      </c>
      <c r="X55" s="17" t="n">
        <v>0</v>
      </c>
      <c r="Y55" s="17" t="n">
        <v>0</v>
      </c>
      <c r="Z55" s="17" t="n">
        <v>0</v>
      </c>
      <c r="AA55" s="17" t="n">
        <v>-1</v>
      </c>
      <c r="AB55" s="17" t="n">
        <v>0</v>
      </c>
      <c r="AC55" s="17" t="n">
        <v>0</v>
      </c>
      <c r="AD55" s="17" t="n">
        <v>0</v>
      </c>
      <c r="AE55" s="17" t="n">
        <v>0</v>
      </c>
      <c r="AF55" s="17" t="n">
        <v>0</v>
      </c>
      <c r="AG55" s="17" t="n">
        <v>0</v>
      </c>
      <c r="AH55" s="17" t="n">
        <v>0</v>
      </c>
      <c r="AI55" s="17" t="n">
        <v>0</v>
      </c>
      <c r="AJ55" s="17" t="n">
        <v>0</v>
      </c>
      <c r="AK55" s="17" t="n">
        <v>0</v>
      </c>
      <c r="AL55" s="17" t="n">
        <v>0</v>
      </c>
      <c r="AM55" s="17" t="n">
        <v>0</v>
      </c>
      <c r="AN55" s="17" t="n">
        <v>0</v>
      </c>
      <c r="AO55" s="17" t="n">
        <v>0</v>
      </c>
      <c r="AP55" s="17" t="n">
        <v>0</v>
      </c>
      <c r="AQ55" s="17" t="n">
        <v>0</v>
      </c>
    </row>
    <row r="56" customFormat="false" ht="15" hidden="false" customHeight="false" outlineLevel="0" collapsed="false">
      <c r="A56" s="7" t="s">
        <v>169</v>
      </c>
      <c r="B56" s="17" t="s">
        <v>196</v>
      </c>
      <c r="C56" s="7" t="str">
        <f aca="false">A56&amp;"|"&amp;B56</f>
        <v>lunar_day|6</v>
      </c>
      <c r="D56" s="17" t="n">
        <v>0</v>
      </c>
      <c r="E56" s="17" t="n">
        <v>0</v>
      </c>
      <c r="F56" s="17" t="n">
        <v>0</v>
      </c>
      <c r="G56" s="17" t="n">
        <v>0</v>
      </c>
      <c r="H56" s="17" t="n">
        <v>0</v>
      </c>
      <c r="I56" s="17" t="n">
        <v>0</v>
      </c>
      <c r="J56" s="17" t="n">
        <v>0</v>
      </c>
      <c r="K56" s="17" t="n">
        <v>0</v>
      </c>
      <c r="L56" s="17" t="n">
        <v>0</v>
      </c>
      <c r="M56" s="17" t="n">
        <v>0</v>
      </c>
      <c r="N56" s="17" t="n">
        <v>0</v>
      </c>
      <c r="O56" s="17" t="n">
        <v>-1</v>
      </c>
      <c r="P56" s="17" t="n">
        <v>0</v>
      </c>
      <c r="Q56" s="17" t="n">
        <v>0</v>
      </c>
      <c r="R56" s="17" t="n">
        <v>0</v>
      </c>
      <c r="S56" s="17" t="n">
        <v>0</v>
      </c>
      <c r="T56" s="17" t="n">
        <v>0</v>
      </c>
      <c r="U56" s="17" t="n">
        <v>0</v>
      </c>
      <c r="V56" s="17" t="n">
        <v>0</v>
      </c>
      <c r="W56" s="17" t="n">
        <v>0</v>
      </c>
      <c r="X56" s="17" t="n">
        <v>0</v>
      </c>
      <c r="Y56" s="17" t="n">
        <v>0</v>
      </c>
      <c r="Z56" s="17" t="n">
        <v>0</v>
      </c>
      <c r="AA56" s="17" t="n">
        <v>0</v>
      </c>
      <c r="AB56" s="17" t="n">
        <v>0</v>
      </c>
      <c r="AC56" s="17" t="n">
        <v>0</v>
      </c>
      <c r="AD56" s="17" t="n">
        <v>0</v>
      </c>
      <c r="AE56" s="17" t="n">
        <v>0</v>
      </c>
      <c r="AF56" s="17" t="n">
        <v>0</v>
      </c>
      <c r="AG56" s="17" t="n">
        <v>0</v>
      </c>
      <c r="AH56" s="17" t="n">
        <v>0</v>
      </c>
      <c r="AI56" s="17" t="n">
        <v>0</v>
      </c>
      <c r="AJ56" s="17" t="n">
        <v>0</v>
      </c>
      <c r="AK56" s="17" t="n">
        <v>0</v>
      </c>
      <c r="AL56" s="17" t="n">
        <v>0</v>
      </c>
      <c r="AM56" s="17" t="n">
        <v>0</v>
      </c>
      <c r="AN56" s="17" t="n">
        <v>0</v>
      </c>
      <c r="AO56" s="17" t="n">
        <v>0</v>
      </c>
      <c r="AP56" s="17" t="n">
        <v>0</v>
      </c>
      <c r="AQ56" s="17" t="n">
        <v>0</v>
      </c>
    </row>
    <row r="57" customFormat="false" ht="15" hidden="false" customHeight="false" outlineLevel="0" collapsed="false">
      <c r="A57" s="7" t="s">
        <v>169</v>
      </c>
      <c r="B57" s="17" t="s">
        <v>197</v>
      </c>
      <c r="C57" s="7" t="str">
        <f aca="false">A57&amp;"|"&amp;B57</f>
        <v>lunar_day|7</v>
      </c>
      <c r="D57" s="17" t="n">
        <v>0</v>
      </c>
      <c r="E57" s="17" t="n">
        <v>0</v>
      </c>
      <c r="F57" s="17" t="n">
        <v>0</v>
      </c>
      <c r="G57" s="17" t="n">
        <v>-1</v>
      </c>
      <c r="H57" s="17" t="n">
        <v>0</v>
      </c>
      <c r="I57" s="17" t="n">
        <v>0</v>
      </c>
      <c r="J57" s="17" t="n">
        <v>0</v>
      </c>
      <c r="K57" s="17" t="n">
        <v>0</v>
      </c>
      <c r="L57" s="17" t="n">
        <v>0</v>
      </c>
      <c r="M57" s="17" t="n">
        <v>0</v>
      </c>
      <c r="N57" s="17" t="n">
        <v>0</v>
      </c>
      <c r="O57" s="17" t="n">
        <v>0</v>
      </c>
      <c r="P57" s="17" t="n">
        <v>0</v>
      </c>
      <c r="Q57" s="17" t="n">
        <v>0</v>
      </c>
      <c r="R57" s="17" t="n">
        <v>1</v>
      </c>
      <c r="S57" s="17" t="n">
        <v>0</v>
      </c>
      <c r="T57" s="17" t="n">
        <v>0</v>
      </c>
      <c r="U57" s="17" t="n">
        <v>0</v>
      </c>
      <c r="V57" s="17" t="n">
        <v>0</v>
      </c>
      <c r="W57" s="17" t="n">
        <v>0</v>
      </c>
      <c r="X57" s="17" t="n">
        <v>0</v>
      </c>
      <c r="Y57" s="17" t="n">
        <v>1</v>
      </c>
      <c r="Z57" s="17" t="n">
        <v>0</v>
      </c>
      <c r="AA57" s="17" t="n">
        <v>0</v>
      </c>
      <c r="AB57" s="17" t="n">
        <v>0</v>
      </c>
      <c r="AC57" s="17" t="n">
        <v>0</v>
      </c>
      <c r="AD57" s="17" t="n">
        <v>0</v>
      </c>
      <c r="AE57" s="17" t="n">
        <v>0</v>
      </c>
      <c r="AF57" s="17" t="n">
        <v>0</v>
      </c>
      <c r="AG57" s="17" t="n">
        <v>0</v>
      </c>
      <c r="AH57" s="17" t="n">
        <v>0</v>
      </c>
      <c r="AI57" s="17" t="n">
        <v>0</v>
      </c>
      <c r="AJ57" s="17" t="n">
        <v>0</v>
      </c>
      <c r="AK57" s="17" t="n">
        <v>0</v>
      </c>
      <c r="AL57" s="17" t="n">
        <v>0</v>
      </c>
      <c r="AM57" s="17" t="n">
        <v>0</v>
      </c>
      <c r="AN57" s="17" t="n">
        <v>0</v>
      </c>
      <c r="AO57" s="17" t="n">
        <v>0</v>
      </c>
      <c r="AP57" s="17" t="n">
        <v>0</v>
      </c>
      <c r="AQ57" s="17" t="n">
        <v>0</v>
      </c>
    </row>
    <row r="58" customFormat="false" ht="15" hidden="false" customHeight="false" outlineLevel="0" collapsed="false">
      <c r="A58" s="7" t="s">
        <v>169</v>
      </c>
      <c r="B58" s="17" t="s">
        <v>198</v>
      </c>
      <c r="C58" s="7" t="str">
        <f aca="false">A58&amp;"|"&amp;B58</f>
        <v>lunar_day|8</v>
      </c>
      <c r="D58" s="17" t="n">
        <v>0</v>
      </c>
      <c r="E58" s="17" t="n">
        <v>0</v>
      </c>
      <c r="F58" s="17" t="n">
        <v>0</v>
      </c>
      <c r="G58" s="17" t="n">
        <v>0</v>
      </c>
      <c r="H58" s="17" t="n">
        <v>0</v>
      </c>
      <c r="I58" s="17" t="n">
        <v>0</v>
      </c>
      <c r="J58" s="17" t="n">
        <v>0</v>
      </c>
      <c r="K58" s="17" t="n">
        <v>0</v>
      </c>
      <c r="L58" s="17" t="n">
        <v>0</v>
      </c>
      <c r="M58" s="17" t="n">
        <v>0</v>
      </c>
      <c r="N58" s="17" t="n">
        <v>0</v>
      </c>
      <c r="O58" s="17" t="n">
        <v>0</v>
      </c>
      <c r="P58" s="17" t="n">
        <v>0</v>
      </c>
      <c r="Q58" s="17" t="n">
        <v>0</v>
      </c>
      <c r="R58" s="17" t="n">
        <v>0</v>
      </c>
      <c r="S58" s="17" t="n">
        <v>0</v>
      </c>
      <c r="T58" s="17" t="n">
        <v>1</v>
      </c>
      <c r="U58" s="17" t="n">
        <v>0</v>
      </c>
      <c r="V58" s="17" t="n">
        <v>0</v>
      </c>
      <c r="W58" s="17" t="n">
        <v>0</v>
      </c>
      <c r="X58" s="17" t="n">
        <v>0</v>
      </c>
      <c r="Y58" s="17" t="n">
        <v>0</v>
      </c>
      <c r="Z58" s="17" t="n">
        <v>0</v>
      </c>
      <c r="AA58" s="17" t="n">
        <v>0</v>
      </c>
      <c r="AB58" s="17" t="n">
        <v>0</v>
      </c>
      <c r="AC58" s="17" t="n">
        <v>0</v>
      </c>
      <c r="AD58" s="17" t="n">
        <v>0</v>
      </c>
      <c r="AE58" s="17" t="n">
        <v>0</v>
      </c>
      <c r="AF58" s="17" t="n">
        <v>0</v>
      </c>
      <c r="AG58" s="17" t="n">
        <v>0</v>
      </c>
      <c r="AH58" s="17" t="n">
        <v>0</v>
      </c>
      <c r="AI58" s="17" t="n">
        <v>0</v>
      </c>
      <c r="AJ58" s="17" t="n">
        <v>0</v>
      </c>
      <c r="AK58" s="17" t="n">
        <v>0</v>
      </c>
      <c r="AL58" s="17" t="n">
        <v>0</v>
      </c>
      <c r="AM58" s="17" t="n">
        <v>0</v>
      </c>
      <c r="AN58" s="17" t="n">
        <v>0</v>
      </c>
      <c r="AO58" s="17" t="n">
        <v>0</v>
      </c>
      <c r="AP58" s="17" t="n">
        <v>0</v>
      </c>
      <c r="AQ58" s="17" t="n">
        <v>0</v>
      </c>
    </row>
    <row r="59" customFormat="false" ht="15" hidden="false" customHeight="false" outlineLevel="0" collapsed="false">
      <c r="A59" s="7" t="s">
        <v>169</v>
      </c>
      <c r="B59" s="17" t="s">
        <v>199</v>
      </c>
      <c r="C59" s="7" t="str">
        <f aca="false">A59&amp;"|"&amp;B59</f>
        <v>lunar_day|9</v>
      </c>
      <c r="D59" s="17" t="n">
        <v>0</v>
      </c>
      <c r="E59" s="17" t="n">
        <v>0</v>
      </c>
      <c r="F59" s="17" t="n">
        <v>0</v>
      </c>
      <c r="G59" s="17" t="n">
        <v>0</v>
      </c>
      <c r="H59" s="17" t="n">
        <v>0</v>
      </c>
      <c r="I59" s="17" t="n">
        <v>0</v>
      </c>
      <c r="J59" s="17" t="n">
        <v>0</v>
      </c>
      <c r="K59" s="17" t="n">
        <v>0</v>
      </c>
      <c r="L59" s="17" t="n">
        <v>0</v>
      </c>
      <c r="M59" s="17" t="n">
        <v>0</v>
      </c>
      <c r="N59" s="17" t="n">
        <v>0</v>
      </c>
      <c r="O59" s="17" t="n">
        <v>0</v>
      </c>
      <c r="P59" s="17" t="n">
        <v>0</v>
      </c>
      <c r="Q59" s="17" t="n">
        <v>0</v>
      </c>
      <c r="R59" s="17" t="n">
        <v>0</v>
      </c>
      <c r="S59" s="17" t="n">
        <v>0</v>
      </c>
      <c r="T59" s="17" t="n">
        <v>0</v>
      </c>
      <c r="U59" s="17" t="n">
        <v>0</v>
      </c>
      <c r="V59" s="17" t="n">
        <v>0</v>
      </c>
      <c r="W59" s="17" t="n">
        <v>0</v>
      </c>
      <c r="X59" s="17" t="n">
        <v>0</v>
      </c>
      <c r="Y59" s="17" t="n">
        <v>0</v>
      </c>
      <c r="Z59" s="17" t="n">
        <v>0</v>
      </c>
      <c r="AA59" s="17" t="n">
        <v>0</v>
      </c>
      <c r="AB59" s="17" t="n">
        <v>0</v>
      </c>
      <c r="AC59" s="17" t="n">
        <v>0</v>
      </c>
      <c r="AD59" s="17" t="n">
        <v>0</v>
      </c>
      <c r="AE59" s="17" t="n">
        <v>0</v>
      </c>
      <c r="AF59" s="17" t="n">
        <v>0</v>
      </c>
      <c r="AG59" s="17" t="n">
        <v>0</v>
      </c>
      <c r="AH59" s="17" t="n">
        <v>0</v>
      </c>
      <c r="AI59" s="17" t="n">
        <v>0</v>
      </c>
      <c r="AJ59" s="17" t="n">
        <v>0</v>
      </c>
      <c r="AK59" s="17" t="n">
        <v>0</v>
      </c>
      <c r="AL59" s="17" t="n">
        <v>0</v>
      </c>
      <c r="AM59" s="17" t="n">
        <v>0</v>
      </c>
      <c r="AN59" s="17" t="n">
        <v>0</v>
      </c>
      <c r="AO59" s="17" t="n">
        <v>0</v>
      </c>
      <c r="AP59" s="17" t="n">
        <v>0</v>
      </c>
      <c r="AQ59" s="17" t="n">
        <v>0</v>
      </c>
    </row>
    <row r="61" customFormat="false" ht="15" hidden="false" customHeight="false" outlineLevel="0" collapsed="false">
      <c r="A61" s="5" t="s">
        <v>200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8" min="1" style="0" width="16"/>
  </cols>
  <sheetData>
    <row r="1" customFormat="false" ht="15" hidden="false" customHeight="false" outlineLevel="0" collapsed="false">
      <c r="A1" s="2" t="s">
        <v>201</v>
      </c>
      <c r="B1" s="2" t="s">
        <v>202</v>
      </c>
      <c r="C1" s="2" t="s">
        <v>138</v>
      </c>
      <c r="D1" s="2" t="s">
        <v>141</v>
      </c>
      <c r="E1" s="2" t="s">
        <v>144</v>
      </c>
      <c r="F1" s="2" t="s">
        <v>145</v>
      </c>
      <c r="G1" s="2" t="s">
        <v>158</v>
      </c>
      <c r="H1" s="2" t="s">
        <v>169</v>
      </c>
    </row>
    <row r="2" customFormat="false" ht="15" hidden="false" customHeight="false" outlineLevel="0" collapsed="false">
      <c r="A2" s="18" t="n">
        <v>46310</v>
      </c>
      <c r="B2" s="17" t="s">
        <v>203</v>
      </c>
      <c r="C2" s="17" t="s">
        <v>139</v>
      </c>
      <c r="D2" s="17" t="s">
        <v>142</v>
      </c>
      <c r="E2" s="17" t="s">
        <v>142</v>
      </c>
      <c r="F2" s="17" t="s">
        <v>147</v>
      </c>
      <c r="G2" s="17" t="s">
        <v>159</v>
      </c>
      <c r="H2" s="17" t="s">
        <v>196</v>
      </c>
    </row>
    <row r="3" customFormat="false" ht="15" hidden="false" customHeight="false" outlineLevel="0" collapsed="false">
      <c r="A3" s="18" t="n">
        <v>46311</v>
      </c>
      <c r="B3" s="17" t="s">
        <v>204</v>
      </c>
      <c r="C3" s="17" t="s">
        <v>139</v>
      </c>
      <c r="D3" s="17" t="s">
        <v>142</v>
      </c>
      <c r="E3" s="17" t="s">
        <v>142</v>
      </c>
      <c r="F3" s="17" t="s">
        <v>147</v>
      </c>
      <c r="G3" s="17" t="s">
        <v>159</v>
      </c>
      <c r="H3" s="17" t="s">
        <v>197</v>
      </c>
    </row>
    <row r="4" customFormat="false" ht="15" hidden="false" customHeight="false" outlineLevel="0" collapsed="false">
      <c r="A4" s="18" t="n">
        <v>46312</v>
      </c>
      <c r="B4" s="17" t="s">
        <v>205</v>
      </c>
      <c r="C4" s="17" t="s">
        <v>139</v>
      </c>
      <c r="D4" s="17" t="s">
        <v>142</v>
      </c>
      <c r="E4" s="17" t="s">
        <v>142</v>
      </c>
      <c r="F4" s="17" t="s">
        <v>147</v>
      </c>
      <c r="G4" s="17" t="s">
        <v>159</v>
      </c>
      <c r="H4" s="17" t="s">
        <v>198</v>
      </c>
    </row>
    <row r="5" customFormat="false" ht="15" hidden="false" customHeight="false" outlineLevel="0" collapsed="false">
      <c r="A5" s="18" t="n">
        <v>46313</v>
      </c>
      <c r="B5" s="17" t="s">
        <v>206</v>
      </c>
      <c r="C5" s="17" t="s">
        <v>139</v>
      </c>
      <c r="D5" s="17" t="s">
        <v>143</v>
      </c>
      <c r="E5" s="17" t="s">
        <v>142</v>
      </c>
      <c r="F5" s="17" t="s">
        <v>147</v>
      </c>
      <c r="G5" s="17" t="s">
        <v>159</v>
      </c>
      <c r="H5" s="17" t="s">
        <v>199</v>
      </c>
    </row>
    <row r="6" customFormat="false" ht="15" hidden="false" customHeight="false" outlineLevel="0" collapsed="false">
      <c r="A6" s="18" t="n">
        <v>46314</v>
      </c>
      <c r="B6" s="17" t="s">
        <v>207</v>
      </c>
      <c r="C6" s="17" t="s">
        <v>139</v>
      </c>
      <c r="D6" s="17" t="s">
        <v>143</v>
      </c>
      <c r="E6" s="17" t="s">
        <v>142</v>
      </c>
      <c r="F6" s="17" t="s">
        <v>147</v>
      </c>
      <c r="G6" s="17" t="s">
        <v>159</v>
      </c>
      <c r="H6" s="17" t="s">
        <v>171</v>
      </c>
    </row>
    <row r="7" customFormat="false" ht="15" hidden="false" customHeight="false" outlineLevel="0" collapsed="false">
      <c r="A7" s="18" t="n">
        <v>46315</v>
      </c>
      <c r="B7" s="17" t="s">
        <v>208</v>
      </c>
      <c r="C7" s="17" t="s">
        <v>139</v>
      </c>
      <c r="D7" s="17" t="s">
        <v>143</v>
      </c>
      <c r="E7" s="17" t="s">
        <v>142</v>
      </c>
      <c r="F7" s="17" t="s">
        <v>147</v>
      </c>
      <c r="G7" s="17" t="s">
        <v>159</v>
      </c>
      <c r="H7" s="17" t="s">
        <v>172</v>
      </c>
    </row>
    <row r="8" customFormat="false" ht="15" hidden="false" customHeight="false" outlineLevel="0" collapsed="false">
      <c r="A8" s="18" t="n">
        <v>46316</v>
      </c>
      <c r="B8" s="17" t="s">
        <v>209</v>
      </c>
      <c r="C8" s="17" t="s">
        <v>139</v>
      </c>
      <c r="D8" s="17" t="s">
        <v>143</v>
      </c>
      <c r="E8" s="17" t="s">
        <v>142</v>
      </c>
      <c r="F8" s="17" t="s">
        <v>147</v>
      </c>
      <c r="G8" s="17" t="s">
        <v>159</v>
      </c>
      <c r="H8" s="17" t="s">
        <v>173</v>
      </c>
    </row>
    <row r="9" customFormat="false" ht="15" hidden="false" customHeight="false" outlineLevel="0" collapsed="false">
      <c r="A9" s="18" t="n">
        <v>46317</v>
      </c>
      <c r="B9" s="17" t="s">
        <v>203</v>
      </c>
      <c r="C9" s="17" t="s">
        <v>139</v>
      </c>
      <c r="D9" s="17" t="s">
        <v>143</v>
      </c>
      <c r="E9" s="17" t="s">
        <v>142</v>
      </c>
      <c r="F9" s="17" t="s">
        <v>147</v>
      </c>
      <c r="G9" s="17" t="s">
        <v>159</v>
      </c>
      <c r="H9" s="17" t="s">
        <v>174</v>
      </c>
    </row>
    <row r="10" customFormat="false" ht="15" hidden="false" customHeight="false" outlineLevel="0" collapsed="false">
      <c r="A10" s="18" t="n">
        <v>46318</v>
      </c>
      <c r="B10" s="17" t="s">
        <v>204</v>
      </c>
      <c r="C10" s="17" t="s">
        <v>139</v>
      </c>
      <c r="D10" s="17" t="s">
        <v>143</v>
      </c>
      <c r="E10" s="17" t="s">
        <v>142</v>
      </c>
      <c r="F10" s="17" t="s">
        <v>147</v>
      </c>
      <c r="G10" s="17" t="s">
        <v>159</v>
      </c>
      <c r="H10" s="17" t="s">
        <v>175</v>
      </c>
    </row>
    <row r="11" customFormat="false" ht="15" hidden="false" customHeight="false" outlineLevel="0" collapsed="false">
      <c r="A11" s="18" t="n">
        <v>46319</v>
      </c>
      <c r="B11" s="17" t="s">
        <v>205</v>
      </c>
      <c r="C11" s="17" t="s">
        <v>139</v>
      </c>
      <c r="D11" s="17" t="s">
        <v>143</v>
      </c>
      <c r="E11" s="17" t="s">
        <v>142</v>
      </c>
      <c r="F11" s="17" t="s">
        <v>147</v>
      </c>
      <c r="G11" s="17" t="s">
        <v>159</v>
      </c>
      <c r="H11" s="17" t="s">
        <v>176</v>
      </c>
    </row>
    <row r="12" customFormat="false" ht="15" hidden="false" customHeight="false" outlineLevel="0" collapsed="false">
      <c r="A12" s="18" t="n">
        <v>46320</v>
      </c>
      <c r="B12" s="17" t="s">
        <v>206</v>
      </c>
      <c r="C12" s="17" t="s">
        <v>139</v>
      </c>
      <c r="D12" s="17" t="s">
        <v>143</v>
      </c>
      <c r="E12" s="17" t="s">
        <v>142</v>
      </c>
      <c r="F12" s="17" t="s">
        <v>147</v>
      </c>
      <c r="G12" s="17" t="s">
        <v>159</v>
      </c>
      <c r="H12" s="17" t="s">
        <v>177</v>
      </c>
    </row>
    <row r="13" customFormat="false" ht="15" hidden="false" customHeight="false" outlineLevel="0" collapsed="false">
      <c r="A13" s="18" t="n">
        <v>46321</v>
      </c>
      <c r="B13" s="17" t="s">
        <v>207</v>
      </c>
      <c r="C13" s="17" t="s">
        <v>139</v>
      </c>
      <c r="D13" s="17" t="s">
        <v>143</v>
      </c>
      <c r="E13" s="17" t="s">
        <v>142</v>
      </c>
      <c r="F13" s="17" t="s">
        <v>147</v>
      </c>
      <c r="G13" s="17" t="s">
        <v>159</v>
      </c>
      <c r="H13" s="17" t="s">
        <v>178</v>
      </c>
    </row>
    <row r="14" customFormat="false" ht="15" hidden="false" customHeight="false" outlineLevel="0" collapsed="false">
      <c r="A14" s="18" t="n">
        <v>46322</v>
      </c>
      <c r="B14" s="17" t="s">
        <v>208</v>
      </c>
      <c r="C14" s="17" t="s">
        <v>139</v>
      </c>
      <c r="D14" s="17" t="s">
        <v>143</v>
      </c>
      <c r="E14" s="17" t="s">
        <v>142</v>
      </c>
      <c r="F14" s="17" t="s">
        <v>147</v>
      </c>
      <c r="G14" s="17" t="s">
        <v>159</v>
      </c>
      <c r="H14" s="17" t="s">
        <v>179</v>
      </c>
    </row>
    <row r="15" customFormat="false" ht="15" hidden="false" customHeight="false" outlineLevel="0" collapsed="false">
      <c r="A15" s="18" t="n">
        <v>46323</v>
      </c>
      <c r="B15" s="17" t="s">
        <v>209</v>
      </c>
      <c r="C15" s="17" t="s">
        <v>139</v>
      </c>
      <c r="D15" s="17" t="s">
        <v>143</v>
      </c>
      <c r="E15" s="17" t="s">
        <v>142</v>
      </c>
      <c r="F15" s="17" t="s">
        <v>147</v>
      </c>
      <c r="G15" s="17" t="s">
        <v>159</v>
      </c>
      <c r="H15" s="17" t="s">
        <v>180</v>
      </c>
    </row>
    <row r="16" customFormat="false" ht="15" hidden="false" customHeight="false" outlineLevel="0" collapsed="false">
      <c r="A16" s="18" t="n">
        <v>46324</v>
      </c>
      <c r="B16" s="17" t="s">
        <v>203</v>
      </c>
      <c r="C16" s="17" t="s">
        <v>139</v>
      </c>
      <c r="D16" s="17" t="s">
        <v>143</v>
      </c>
      <c r="E16" s="17" t="s">
        <v>142</v>
      </c>
      <c r="F16" s="17" t="s">
        <v>147</v>
      </c>
      <c r="G16" s="17" t="s">
        <v>159</v>
      </c>
      <c r="H16" s="17" t="s">
        <v>182</v>
      </c>
    </row>
    <row r="17" customFormat="false" ht="15" hidden="false" customHeight="false" outlineLevel="0" collapsed="false">
      <c r="A17" s="18" t="n">
        <v>46325</v>
      </c>
      <c r="B17" s="17" t="s">
        <v>204</v>
      </c>
      <c r="C17" s="17" t="s">
        <v>139</v>
      </c>
      <c r="D17" s="17" t="s">
        <v>143</v>
      </c>
      <c r="E17" s="17" t="s">
        <v>142</v>
      </c>
      <c r="F17" s="17" t="s">
        <v>147</v>
      </c>
      <c r="G17" s="17" t="s">
        <v>159</v>
      </c>
      <c r="H17" s="17" t="s">
        <v>183</v>
      </c>
    </row>
    <row r="18" customFormat="false" ht="15" hidden="false" customHeight="false" outlineLevel="0" collapsed="false">
      <c r="A18" s="18" t="n">
        <v>46326</v>
      </c>
      <c r="B18" s="17" t="s">
        <v>205</v>
      </c>
      <c r="C18" s="17" t="s">
        <v>139</v>
      </c>
      <c r="D18" s="17" t="s">
        <v>142</v>
      </c>
      <c r="E18" s="17" t="s">
        <v>142</v>
      </c>
      <c r="F18" s="17" t="s">
        <v>147</v>
      </c>
      <c r="G18" s="17" t="s">
        <v>159</v>
      </c>
      <c r="H18" s="17" t="s">
        <v>184</v>
      </c>
    </row>
    <row r="19" customFormat="false" ht="15" hidden="false" customHeight="false" outlineLevel="0" collapsed="false">
      <c r="A19" s="18" t="n">
        <v>46327</v>
      </c>
      <c r="B19" s="17" t="s">
        <v>206</v>
      </c>
      <c r="C19" s="17" t="s">
        <v>139</v>
      </c>
      <c r="D19" s="17" t="s">
        <v>142</v>
      </c>
      <c r="E19" s="17" t="s">
        <v>142</v>
      </c>
      <c r="F19" s="17" t="s">
        <v>147</v>
      </c>
      <c r="G19" s="17" t="s">
        <v>159</v>
      </c>
      <c r="H19" s="17" t="s">
        <v>185</v>
      </c>
    </row>
    <row r="20" customFormat="false" ht="15" hidden="false" customHeight="false" outlineLevel="0" collapsed="false">
      <c r="A20" s="18" t="n">
        <v>46328</v>
      </c>
      <c r="B20" s="17" t="s">
        <v>207</v>
      </c>
      <c r="C20" s="17" t="s">
        <v>139</v>
      </c>
      <c r="D20" s="17" t="s">
        <v>142</v>
      </c>
      <c r="E20" s="17" t="s">
        <v>142</v>
      </c>
      <c r="F20" s="17" t="s">
        <v>147</v>
      </c>
      <c r="G20" s="17" t="s">
        <v>159</v>
      </c>
      <c r="H20" s="17" t="s">
        <v>186</v>
      </c>
    </row>
    <row r="21" customFormat="false" ht="15" hidden="false" customHeight="false" outlineLevel="0" collapsed="false">
      <c r="A21" s="18" t="n">
        <v>46329</v>
      </c>
      <c r="B21" s="17" t="s">
        <v>208</v>
      </c>
      <c r="C21" s="17" t="s">
        <v>139</v>
      </c>
      <c r="D21" s="17" t="s">
        <v>142</v>
      </c>
      <c r="E21" s="17" t="s">
        <v>142</v>
      </c>
      <c r="F21" s="17" t="s">
        <v>147</v>
      </c>
      <c r="G21" s="17" t="s">
        <v>159</v>
      </c>
      <c r="H21" s="17" t="s">
        <v>187</v>
      </c>
    </row>
    <row r="22" customFormat="false" ht="15" hidden="false" customHeight="false" outlineLevel="0" collapsed="false">
      <c r="A22" s="18" t="n">
        <v>46330</v>
      </c>
      <c r="B22" s="17" t="s">
        <v>209</v>
      </c>
      <c r="C22" s="17" t="s">
        <v>139</v>
      </c>
      <c r="D22" s="17" t="s">
        <v>142</v>
      </c>
      <c r="E22" s="17" t="s">
        <v>142</v>
      </c>
      <c r="F22" s="17" t="s">
        <v>147</v>
      </c>
      <c r="G22" s="17" t="s">
        <v>159</v>
      </c>
      <c r="H22" s="17" t="s">
        <v>188</v>
      </c>
    </row>
    <row r="23" customFormat="false" ht="15" hidden="false" customHeight="false" outlineLevel="0" collapsed="false">
      <c r="A23" s="18" t="n">
        <v>46331</v>
      </c>
      <c r="B23" s="17" t="s">
        <v>203</v>
      </c>
      <c r="C23" s="17" t="s">
        <v>139</v>
      </c>
      <c r="D23" s="17" t="s">
        <v>142</v>
      </c>
      <c r="E23" s="17" t="s">
        <v>142</v>
      </c>
      <c r="F23" s="17" t="s">
        <v>147</v>
      </c>
      <c r="G23" s="17" t="s">
        <v>159</v>
      </c>
      <c r="H23" s="17" t="s">
        <v>189</v>
      </c>
    </row>
    <row r="24" customFormat="false" ht="15" hidden="false" customHeight="false" outlineLevel="0" collapsed="false">
      <c r="A24" s="18" t="n">
        <v>46332</v>
      </c>
      <c r="B24" s="17" t="s">
        <v>204</v>
      </c>
      <c r="C24" s="17" t="s">
        <v>139</v>
      </c>
      <c r="D24" s="17" t="s">
        <v>142</v>
      </c>
      <c r="E24" s="17" t="s">
        <v>142</v>
      </c>
      <c r="F24" s="17" t="s">
        <v>147</v>
      </c>
      <c r="G24" s="17" t="s">
        <v>159</v>
      </c>
      <c r="H24" s="17" t="s">
        <v>190</v>
      </c>
    </row>
    <row r="25" customFormat="false" ht="15" hidden="false" customHeight="false" outlineLevel="0" collapsed="false">
      <c r="A25" s="18" t="n">
        <v>46333</v>
      </c>
      <c r="B25" s="17" t="s">
        <v>205</v>
      </c>
      <c r="C25" s="17" t="s">
        <v>139</v>
      </c>
      <c r="D25" s="17" t="s">
        <v>142</v>
      </c>
      <c r="E25" s="17" t="s">
        <v>142</v>
      </c>
      <c r="F25" s="17" t="s">
        <v>147</v>
      </c>
      <c r="G25" s="17" t="s">
        <v>159</v>
      </c>
      <c r="H25" s="17" t="s">
        <v>191</v>
      </c>
    </row>
    <row r="26" customFormat="false" ht="15" hidden="false" customHeight="false" outlineLevel="0" collapsed="false">
      <c r="A26" s="18" t="n">
        <v>46334</v>
      </c>
      <c r="B26" s="17" t="s">
        <v>206</v>
      </c>
      <c r="C26" s="17" t="s">
        <v>139</v>
      </c>
      <c r="D26" s="17" t="s">
        <v>142</v>
      </c>
      <c r="E26" s="17" t="s">
        <v>142</v>
      </c>
      <c r="F26" s="17" t="s">
        <v>147</v>
      </c>
      <c r="G26" s="17" t="s">
        <v>159</v>
      </c>
      <c r="H26" s="17" t="s">
        <v>193</v>
      </c>
    </row>
    <row r="27" customFormat="false" ht="15" hidden="false" customHeight="false" outlineLevel="0" collapsed="false">
      <c r="A27" s="18" t="n">
        <v>46335</v>
      </c>
      <c r="B27" s="17" t="s">
        <v>207</v>
      </c>
      <c r="C27" s="17" t="s">
        <v>139</v>
      </c>
      <c r="D27" s="17" t="s">
        <v>142</v>
      </c>
      <c r="E27" s="17" t="s">
        <v>142</v>
      </c>
      <c r="F27" s="17" t="s">
        <v>151</v>
      </c>
      <c r="G27" s="17" t="s">
        <v>159</v>
      </c>
      <c r="H27" s="17" t="s">
        <v>170</v>
      </c>
    </row>
    <row r="28" customFormat="false" ht="15" hidden="false" customHeight="false" outlineLevel="0" collapsed="false">
      <c r="A28" s="18" t="n">
        <v>46336</v>
      </c>
      <c r="B28" s="17" t="s">
        <v>208</v>
      </c>
      <c r="C28" s="17" t="s">
        <v>139</v>
      </c>
      <c r="D28" s="17" t="s">
        <v>142</v>
      </c>
      <c r="E28" s="17" t="s">
        <v>142</v>
      </c>
      <c r="F28" s="17" t="s">
        <v>151</v>
      </c>
      <c r="G28" s="17" t="s">
        <v>159</v>
      </c>
      <c r="H28" s="17" t="s">
        <v>181</v>
      </c>
    </row>
    <row r="29" customFormat="false" ht="15" hidden="false" customHeight="false" outlineLevel="0" collapsed="false">
      <c r="A29" s="18" t="n">
        <v>46337</v>
      </c>
      <c r="B29" s="17" t="s">
        <v>209</v>
      </c>
      <c r="C29" s="17" t="s">
        <v>139</v>
      </c>
      <c r="D29" s="17" t="s">
        <v>142</v>
      </c>
      <c r="E29" s="17" t="s">
        <v>142</v>
      </c>
      <c r="F29" s="17" t="s">
        <v>151</v>
      </c>
      <c r="G29" s="17" t="s">
        <v>159</v>
      </c>
      <c r="H29" s="17" t="s">
        <v>192</v>
      </c>
    </row>
    <row r="30" customFormat="false" ht="15" hidden="false" customHeight="false" outlineLevel="0" collapsed="false">
      <c r="A30" s="18" t="n">
        <v>46338</v>
      </c>
      <c r="B30" s="17" t="s">
        <v>203</v>
      </c>
      <c r="C30" s="17" t="s">
        <v>139</v>
      </c>
      <c r="D30" s="17" t="s">
        <v>142</v>
      </c>
      <c r="E30" s="17" t="s">
        <v>142</v>
      </c>
      <c r="F30" s="17" t="s">
        <v>151</v>
      </c>
      <c r="G30" s="17" t="s">
        <v>159</v>
      </c>
      <c r="H30" s="17" t="s">
        <v>194</v>
      </c>
    </row>
    <row r="31" customFormat="false" ht="15" hidden="false" customHeight="false" outlineLevel="0" collapsed="false">
      <c r="A31" s="18" t="n">
        <v>46339</v>
      </c>
      <c r="B31" s="17" t="s">
        <v>204</v>
      </c>
      <c r="C31" s="17" t="s">
        <v>139</v>
      </c>
      <c r="D31" s="17" t="s">
        <v>142</v>
      </c>
      <c r="E31" s="17" t="s">
        <v>142</v>
      </c>
      <c r="F31" s="17" t="s">
        <v>151</v>
      </c>
      <c r="G31" s="17" t="s">
        <v>159</v>
      </c>
      <c r="H31" s="17" t="s">
        <v>195</v>
      </c>
    </row>
    <row r="32" customFormat="false" ht="15" hidden="false" customHeight="false" outlineLevel="0" collapsed="false">
      <c r="A32" s="18" t="n">
        <v>46340</v>
      </c>
      <c r="B32" s="17" t="s">
        <v>205</v>
      </c>
      <c r="C32" s="17" t="s">
        <v>139</v>
      </c>
      <c r="D32" s="17" t="s">
        <v>142</v>
      </c>
      <c r="E32" s="17" t="s">
        <v>142</v>
      </c>
      <c r="F32" s="17" t="s">
        <v>151</v>
      </c>
      <c r="G32" s="17" t="s">
        <v>159</v>
      </c>
      <c r="H32" s="17" t="s">
        <v>196</v>
      </c>
    </row>
    <row r="33" customFormat="false" ht="15" hidden="false" customHeight="false" outlineLevel="0" collapsed="false">
      <c r="A33" s="18" t="n">
        <v>46341</v>
      </c>
      <c r="B33" s="17" t="s">
        <v>206</v>
      </c>
      <c r="C33" s="17" t="s">
        <v>139</v>
      </c>
      <c r="D33" s="17" t="s">
        <v>142</v>
      </c>
      <c r="E33" s="17" t="s">
        <v>142</v>
      </c>
      <c r="F33" s="17" t="s">
        <v>151</v>
      </c>
      <c r="G33" s="17" t="s">
        <v>159</v>
      </c>
      <c r="H33" s="17" t="s">
        <v>197</v>
      </c>
    </row>
    <row r="34" customFormat="false" ht="15" hidden="false" customHeight="false" outlineLevel="0" collapsed="false">
      <c r="A34" s="18" t="n">
        <v>46342</v>
      </c>
      <c r="B34" s="17" t="s">
        <v>207</v>
      </c>
      <c r="C34" s="17" t="s">
        <v>139</v>
      </c>
      <c r="D34" s="17" t="s">
        <v>142</v>
      </c>
      <c r="E34" s="17" t="s">
        <v>142</v>
      </c>
      <c r="F34" s="17" t="s">
        <v>151</v>
      </c>
      <c r="G34" s="17" t="s">
        <v>159</v>
      </c>
      <c r="H34" s="17" t="s">
        <v>198</v>
      </c>
    </row>
    <row r="35" customFormat="false" ht="15" hidden="false" customHeight="false" outlineLevel="0" collapsed="false">
      <c r="A35" s="18" t="n">
        <v>46343</v>
      </c>
      <c r="B35" s="17" t="s">
        <v>208</v>
      </c>
      <c r="C35" s="17" t="s">
        <v>139</v>
      </c>
      <c r="D35" s="17" t="s">
        <v>142</v>
      </c>
      <c r="E35" s="17" t="s">
        <v>142</v>
      </c>
      <c r="F35" s="17" t="s">
        <v>151</v>
      </c>
      <c r="G35" s="17" t="s">
        <v>159</v>
      </c>
      <c r="H35" s="17" t="s">
        <v>199</v>
      </c>
    </row>
    <row r="36" customFormat="false" ht="15" hidden="false" customHeight="false" outlineLevel="0" collapsed="false">
      <c r="A36" s="18" t="n">
        <v>46344</v>
      </c>
      <c r="B36" s="17" t="s">
        <v>209</v>
      </c>
      <c r="C36" s="17" t="s">
        <v>139</v>
      </c>
      <c r="D36" s="17" t="s">
        <v>142</v>
      </c>
      <c r="E36" s="17" t="s">
        <v>142</v>
      </c>
      <c r="F36" s="17" t="s">
        <v>151</v>
      </c>
      <c r="G36" s="17" t="s">
        <v>159</v>
      </c>
      <c r="H36" s="17" t="s">
        <v>171</v>
      </c>
    </row>
    <row r="37" customFormat="false" ht="15" hidden="false" customHeight="false" outlineLevel="0" collapsed="false">
      <c r="A37" s="18" t="n">
        <v>46345</v>
      </c>
      <c r="B37" s="17" t="s">
        <v>203</v>
      </c>
      <c r="C37" s="17" t="s">
        <v>139</v>
      </c>
      <c r="D37" s="17" t="s">
        <v>142</v>
      </c>
      <c r="E37" s="17" t="s">
        <v>142</v>
      </c>
      <c r="F37" s="17" t="s">
        <v>151</v>
      </c>
      <c r="G37" s="17" t="s">
        <v>159</v>
      </c>
      <c r="H37" s="17" t="s">
        <v>172</v>
      </c>
    </row>
    <row r="38" customFormat="false" ht="15" hidden="false" customHeight="false" outlineLevel="0" collapsed="false">
      <c r="A38" s="18" t="n">
        <v>46346</v>
      </c>
      <c r="B38" s="17" t="s">
        <v>204</v>
      </c>
      <c r="C38" s="17" t="s">
        <v>139</v>
      </c>
      <c r="D38" s="17" t="s">
        <v>142</v>
      </c>
      <c r="E38" s="17" t="s">
        <v>142</v>
      </c>
      <c r="F38" s="17" t="s">
        <v>151</v>
      </c>
      <c r="G38" s="17" t="s">
        <v>159</v>
      </c>
      <c r="H38" s="17" t="s">
        <v>173</v>
      </c>
    </row>
    <row r="39" customFormat="false" ht="15" hidden="false" customHeight="false" outlineLevel="0" collapsed="false">
      <c r="A39" s="18" t="n">
        <v>46347</v>
      </c>
      <c r="B39" s="17" t="s">
        <v>205</v>
      </c>
      <c r="C39" s="17" t="s">
        <v>139</v>
      </c>
      <c r="D39" s="17" t="s">
        <v>142</v>
      </c>
      <c r="E39" s="17" t="s">
        <v>142</v>
      </c>
      <c r="F39" s="17" t="s">
        <v>151</v>
      </c>
      <c r="G39" s="17" t="s">
        <v>159</v>
      </c>
      <c r="H39" s="17" t="s">
        <v>174</v>
      </c>
    </row>
    <row r="40" customFormat="false" ht="15" hidden="false" customHeight="false" outlineLevel="0" collapsed="false">
      <c r="A40" s="18" t="n">
        <v>46348</v>
      </c>
      <c r="B40" s="17" t="s">
        <v>206</v>
      </c>
      <c r="C40" s="17" t="s">
        <v>139</v>
      </c>
      <c r="D40" s="17" t="s">
        <v>142</v>
      </c>
      <c r="E40" s="17" t="s">
        <v>142</v>
      </c>
      <c r="F40" s="17" t="s">
        <v>151</v>
      </c>
      <c r="G40" s="17" t="s">
        <v>159</v>
      </c>
      <c r="H40" s="17" t="s">
        <v>175</v>
      </c>
    </row>
    <row r="41" customFormat="false" ht="15" hidden="false" customHeight="false" outlineLevel="0" collapsed="false">
      <c r="A41" s="18" t="n">
        <v>46349</v>
      </c>
      <c r="B41" s="17" t="s">
        <v>207</v>
      </c>
      <c r="C41" s="17" t="s">
        <v>139</v>
      </c>
      <c r="D41" s="17" t="s">
        <v>142</v>
      </c>
      <c r="E41" s="17" t="s">
        <v>142</v>
      </c>
      <c r="F41" s="17" t="s">
        <v>151</v>
      </c>
      <c r="G41" s="17" t="s">
        <v>159</v>
      </c>
      <c r="H41" s="17" t="s">
        <v>176</v>
      </c>
    </row>
    <row r="42" customFormat="false" ht="15" hidden="false" customHeight="false" outlineLevel="0" collapsed="false">
      <c r="A42" s="18" t="n">
        <v>46350</v>
      </c>
      <c r="B42" s="17" t="s">
        <v>208</v>
      </c>
      <c r="C42" s="17" t="s">
        <v>139</v>
      </c>
      <c r="D42" s="17" t="s">
        <v>142</v>
      </c>
      <c r="E42" s="17" t="s">
        <v>142</v>
      </c>
      <c r="F42" s="17" t="s">
        <v>151</v>
      </c>
      <c r="G42" s="17" t="s">
        <v>159</v>
      </c>
      <c r="H42" s="17" t="s">
        <v>177</v>
      </c>
    </row>
    <row r="43" customFormat="false" ht="15" hidden="false" customHeight="false" outlineLevel="0" collapsed="false">
      <c r="A43" s="18" t="n">
        <v>46351</v>
      </c>
      <c r="B43" s="17" t="s">
        <v>209</v>
      </c>
      <c r="C43" s="17" t="s">
        <v>139</v>
      </c>
      <c r="D43" s="17" t="s">
        <v>142</v>
      </c>
      <c r="E43" s="17" t="s">
        <v>142</v>
      </c>
      <c r="F43" s="17" t="s">
        <v>151</v>
      </c>
      <c r="G43" s="17" t="s">
        <v>159</v>
      </c>
      <c r="H43" s="17" t="s">
        <v>178</v>
      </c>
    </row>
    <row r="44" customFormat="false" ht="15" hidden="false" customHeight="false" outlineLevel="0" collapsed="false">
      <c r="A44" s="18" t="n">
        <v>46352</v>
      </c>
      <c r="B44" s="17" t="s">
        <v>203</v>
      </c>
      <c r="C44" s="17" t="s">
        <v>139</v>
      </c>
      <c r="D44" s="17" t="s">
        <v>142</v>
      </c>
      <c r="E44" s="17" t="s">
        <v>142</v>
      </c>
      <c r="F44" s="17" t="s">
        <v>151</v>
      </c>
      <c r="G44" s="17" t="s">
        <v>159</v>
      </c>
      <c r="H44" s="17" t="s">
        <v>179</v>
      </c>
    </row>
    <row r="45" customFormat="false" ht="15" hidden="false" customHeight="false" outlineLevel="0" collapsed="false">
      <c r="A45" s="18" t="n">
        <v>46353</v>
      </c>
      <c r="B45" s="17" t="s">
        <v>204</v>
      </c>
      <c r="C45" s="17" t="s">
        <v>139</v>
      </c>
      <c r="D45" s="17" t="s">
        <v>142</v>
      </c>
      <c r="E45" s="17" t="s">
        <v>142</v>
      </c>
      <c r="F45" s="17" t="s">
        <v>151</v>
      </c>
      <c r="G45" s="17" t="s">
        <v>159</v>
      </c>
      <c r="H45" s="17" t="s">
        <v>180</v>
      </c>
    </row>
    <row r="46" customFormat="false" ht="15" hidden="false" customHeight="false" outlineLevel="0" collapsed="false">
      <c r="A46" s="18" t="n">
        <v>46354</v>
      </c>
      <c r="B46" s="17" t="s">
        <v>205</v>
      </c>
      <c r="C46" s="17" t="s">
        <v>139</v>
      </c>
      <c r="D46" s="17" t="s">
        <v>142</v>
      </c>
      <c r="E46" s="17" t="s">
        <v>142</v>
      </c>
      <c r="F46" s="17" t="s">
        <v>151</v>
      </c>
      <c r="G46" s="17" t="s">
        <v>159</v>
      </c>
      <c r="H46" s="17" t="s">
        <v>182</v>
      </c>
    </row>
    <row r="47" customFormat="false" ht="15" hidden="false" customHeight="false" outlineLevel="0" collapsed="false">
      <c r="A47" s="18" t="n">
        <v>46355</v>
      </c>
      <c r="B47" s="17" t="s">
        <v>206</v>
      </c>
      <c r="C47" s="17" t="s">
        <v>139</v>
      </c>
      <c r="D47" s="17" t="s">
        <v>142</v>
      </c>
      <c r="E47" s="17" t="s">
        <v>142</v>
      </c>
      <c r="F47" s="17" t="s">
        <v>151</v>
      </c>
      <c r="G47" s="17" t="s">
        <v>159</v>
      </c>
      <c r="H47" s="17" t="s">
        <v>183</v>
      </c>
    </row>
    <row r="48" customFormat="false" ht="15" hidden="false" customHeight="false" outlineLevel="0" collapsed="false">
      <c r="A48" s="18" t="n">
        <v>46356</v>
      </c>
      <c r="B48" s="17" t="s">
        <v>207</v>
      </c>
      <c r="C48" s="17" t="s">
        <v>139</v>
      </c>
      <c r="D48" s="17" t="s">
        <v>142</v>
      </c>
      <c r="E48" s="17" t="s">
        <v>142</v>
      </c>
      <c r="F48" s="17" t="s">
        <v>151</v>
      </c>
      <c r="G48" s="17" t="s">
        <v>159</v>
      </c>
      <c r="H48" s="17" t="s">
        <v>184</v>
      </c>
    </row>
    <row r="49" customFormat="false" ht="15" hidden="false" customHeight="false" outlineLevel="0" collapsed="false">
      <c r="A49" s="18" t="n">
        <v>46357</v>
      </c>
      <c r="B49" s="17" t="s">
        <v>208</v>
      </c>
      <c r="C49" s="17" t="s">
        <v>139</v>
      </c>
      <c r="D49" s="17" t="s">
        <v>142</v>
      </c>
      <c r="E49" s="17" t="s">
        <v>142</v>
      </c>
      <c r="F49" s="17" t="s">
        <v>151</v>
      </c>
      <c r="G49" s="17" t="s">
        <v>159</v>
      </c>
      <c r="H49" s="17" t="s">
        <v>185</v>
      </c>
    </row>
    <row r="50" customFormat="false" ht="15" hidden="false" customHeight="false" outlineLevel="0" collapsed="false">
      <c r="A50" s="18" t="n">
        <v>46358</v>
      </c>
      <c r="B50" s="17" t="s">
        <v>209</v>
      </c>
      <c r="C50" s="17" t="s">
        <v>139</v>
      </c>
      <c r="D50" s="17" t="s">
        <v>142</v>
      </c>
      <c r="E50" s="17" t="s">
        <v>142</v>
      </c>
      <c r="F50" s="17" t="s">
        <v>151</v>
      </c>
      <c r="G50" s="17" t="s">
        <v>159</v>
      </c>
      <c r="H50" s="17" t="s">
        <v>186</v>
      </c>
    </row>
    <row r="51" customFormat="false" ht="15" hidden="false" customHeight="false" outlineLevel="0" collapsed="false">
      <c r="A51" s="18" t="n">
        <v>46359</v>
      </c>
      <c r="B51" s="17" t="s">
        <v>203</v>
      </c>
      <c r="C51" s="17" t="s">
        <v>139</v>
      </c>
      <c r="D51" s="17" t="s">
        <v>142</v>
      </c>
      <c r="E51" s="17" t="s">
        <v>142</v>
      </c>
      <c r="F51" s="17" t="s">
        <v>151</v>
      </c>
      <c r="G51" s="17" t="s">
        <v>159</v>
      </c>
      <c r="H51" s="17" t="s">
        <v>187</v>
      </c>
    </row>
    <row r="52" customFormat="false" ht="15" hidden="false" customHeight="false" outlineLevel="0" collapsed="false">
      <c r="A52" s="18" t="n">
        <v>46360</v>
      </c>
      <c r="B52" s="17" t="s">
        <v>204</v>
      </c>
      <c r="C52" s="17" t="s">
        <v>139</v>
      </c>
      <c r="D52" s="17" t="s">
        <v>142</v>
      </c>
      <c r="E52" s="17" t="s">
        <v>142</v>
      </c>
      <c r="F52" s="17" t="s">
        <v>151</v>
      </c>
      <c r="G52" s="17" t="s">
        <v>159</v>
      </c>
      <c r="H52" s="17" t="s">
        <v>188</v>
      </c>
    </row>
    <row r="53" customFormat="false" ht="15" hidden="false" customHeight="false" outlineLevel="0" collapsed="false">
      <c r="A53" s="18" t="n">
        <v>46361</v>
      </c>
      <c r="B53" s="17" t="s">
        <v>205</v>
      </c>
      <c r="C53" s="17" t="s">
        <v>139</v>
      </c>
      <c r="D53" s="17" t="s">
        <v>142</v>
      </c>
      <c r="E53" s="17" t="s">
        <v>142</v>
      </c>
      <c r="F53" s="17" t="s">
        <v>151</v>
      </c>
      <c r="G53" s="17" t="s">
        <v>159</v>
      </c>
      <c r="H53" s="17" t="s">
        <v>189</v>
      </c>
    </row>
    <row r="54" customFormat="false" ht="15" hidden="false" customHeight="false" outlineLevel="0" collapsed="false">
      <c r="A54" s="18" t="n">
        <v>46362</v>
      </c>
      <c r="B54" s="17" t="s">
        <v>206</v>
      </c>
      <c r="C54" s="17" t="s">
        <v>139</v>
      </c>
      <c r="D54" s="17" t="s">
        <v>142</v>
      </c>
      <c r="E54" s="17" t="s">
        <v>142</v>
      </c>
      <c r="F54" s="17" t="s">
        <v>151</v>
      </c>
      <c r="G54" s="17" t="s">
        <v>159</v>
      </c>
      <c r="H54" s="17" t="s">
        <v>190</v>
      </c>
    </row>
    <row r="55" customFormat="false" ht="15" hidden="false" customHeight="false" outlineLevel="0" collapsed="false">
      <c r="A55" s="18" t="n">
        <v>46363</v>
      </c>
      <c r="B55" s="17" t="s">
        <v>207</v>
      </c>
      <c r="C55" s="17" t="s">
        <v>139</v>
      </c>
      <c r="D55" s="17" t="s">
        <v>142</v>
      </c>
      <c r="E55" s="17" t="s">
        <v>142</v>
      </c>
      <c r="F55" s="17" t="s">
        <v>151</v>
      </c>
      <c r="G55" s="17" t="s">
        <v>159</v>
      </c>
      <c r="H55" s="17" t="s">
        <v>191</v>
      </c>
    </row>
    <row r="56" customFormat="false" ht="15" hidden="false" customHeight="false" outlineLevel="0" collapsed="false">
      <c r="A56" s="18" t="n">
        <v>46364</v>
      </c>
      <c r="B56" s="17" t="s">
        <v>208</v>
      </c>
      <c r="C56" s="17" t="s">
        <v>139</v>
      </c>
      <c r="D56" s="17" t="s">
        <v>142</v>
      </c>
      <c r="E56" s="17" t="s">
        <v>142</v>
      </c>
      <c r="F56" s="17" t="s">
        <v>151</v>
      </c>
      <c r="G56" s="17" t="s">
        <v>159</v>
      </c>
      <c r="H56" s="17" t="s">
        <v>193</v>
      </c>
    </row>
    <row r="57" customFormat="false" ht="15" hidden="false" customHeight="false" outlineLevel="0" collapsed="false">
      <c r="A57" s="18" t="n">
        <v>46365</v>
      </c>
      <c r="B57" s="17" t="s">
        <v>209</v>
      </c>
      <c r="C57" s="17" t="s">
        <v>139</v>
      </c>
      <c r="D57" s="17" t="s">
        <v>142</v>
      </c>
      <c r="E57" s="17" t="s">
        <v>142</v>
      </c>
      <c r="F57" s="17" t="s">
        <v>153</v>
      </c>
      <c r="G57" s="17" t="s">
        <v>159</v>
      </c>
      <c r="H57" s="17" t="s">
        <v>170</v>
      </c>
    </row>
    <row r="58" customFormat="false" ht="15" hidden="false" customHeight="false" outlineLevel="0" collapsed="false">
      <c r="A58" s="18" t="n">
        <v>46366</v>
      </c>
      <c r="B58" s="17" t="s">
        <v>203</v>
      </c>
      <c r="C58" s="17" t="s">
        <v>139</v>
      </c>
      <c r="D58" s="17" t="s">
        <v>142</v>
      </c>
      <c r="E58" s="17" t="s">
        <v>142</v>
      </c>
      <c r="F58" s="17" t="s">
        <v>153</v>
      </c>
      <c r="G58" s="17" t="s">
        <v>159</v>
      </c>
      <c r="H58" s="17" t="s">
        <v>181</v>
      </c>
    </row>
    <row r="59" customFormat="false" ht="15" hidden="false" customHeight="false" outlineLevel="0" collapsed="false">
      <c r="A59" s="18" t="n">
        <v>46367</v>
      </c>
      <c r="B59" s="17" t="s">
        <v>204</v>
      </c>
      <c r="C59" s="17" t="s">
        <v>139</v>
      </c>
      <c r="D59" s="17" t="s">
        <v>142</v>
      </c>
      <c r="E59" s="17" t="s">
        <v>142</v>
      </c>
      <c r="F59" s="17" t="s">
        <v>153</v>
      </c>
      <c r="G59" s="17" t="s">
        <v>159</v>
      </c>
      <c r="H59" s="17" t="s">
        <v>192</v>
      </c>
    </row>
    <row r="60" customFormat="false" ht="15" hidden="false" customHeight="false" outlineLevel="0" collapsed="false">
      <c r="A60" s="18" t="n">
        <v>46368</v>
      </c>
      <c r="B60" s="17" t="s">
        <v>205</v>
      </c>
      <c r="C60" s="17" t="s">
        <v>139</v>
      </c>
      <c r="D60" s="17" t="s">
        <v>142</v>
      </c>
      <c r="E60" s="17" t="s">
        <v>142</v>
      </c>
      <c r="F60" s="17" t="s">
        <v>153</v>
      </c>
      <c r="G60" s="17" t="s">
        <v>159</v>
      </c>
      <c r="H60" s="17" t="s">
        <v>194</v>
      </c>
    </row>
    <row r="61" customFormat="false" ht="15" hidden="false" customHeight="false" outlineLevel="0" collapsed="false">
      <c r="A61" s="18" t="n">
        <v>46369</v>
      </c>
      <c r="B61" s="17" t="s">
        <v>206</v>
      </c>
      <c r="C61" s="17" t="s">
        <v>139</v>
      </c>
      <c r="D61" s="17" t="s">
        <v>142</v>
      </c>
      <c r="E61" s="17" t="s">
        <v>142</v>
      </c>
      <c r="F61" s="17" t="s">
        <v>153</v>
      </c>
      <c r="G61" s="17" t="s">
        <v>159</v>
      </c>
      <c r="H61" s="17" t="s">
        <v>195</v>
      </c>
    </row>
    <row r="62" customFormat="false" ht="15" hidden="false" customHeight="false" outlineLevel="0" collapsed="false">
      <c r="A62" s="18" t="n">
        <v>46370</v>
      </c>
      <c r="B62" s="17" t="s">
        <v>207</v>
      </c>
      <c r="C62" s="17" t="s">
        <v>139</v>
      </c>
      <c r="D62" s="17" t="s">
        <v>142</v>
      </c>
      <c r="E62" s="17" t="s">
        <v>142</v>
      </c>
      <c r="F62" s="17" t="s">
        <v>153</v>
      </c>
      <c r="G62" s="17" t="s">
        <v>159</v>
      </c>
      <c r="H62" s="17" t="s">
        <v>196</v>
      </c>
    </row>
    <row r="63" customFormat="false" ht="15" hidden="false" customHeight="false" outlineLevel="0" collapsed="false">
      <c r="A63" s="18" t="n">
        <v>46371</v>
      </c>
      <c r="B63" s="17" t="s">
        <v>208</v>
      </c>
      <c r="C63" s="17" t="s">
        <v>139</v>
      </c>
      <c r="D63" s="17" t="s">
        <v>142</v>
      </c>
      <c r="E63" s="17" t="s">
        <v>142</v>
      </c>
      <c r="F63" s="17" t="s">
        <v>153</v>
      </c>
      <c r="G63" s="17" t="s">
        <v>159</v>
      </c>
      <c r="H63" s="17" t="s">
        <v>197</v>
      </c>
    </row>
    <row r="64" customFormat="false" ht="15" hidden="false" customHeight="false" outlineLevel="0" collapsed="false">
      <c r="A64" s="18" t="n">
        <v>46372</v>
      </c>
      <c r="B64" s="17" t="s">
        <v>209</v>
      </c>
      <c r="C64" s="17" t="s">
        <v>139</v>
      </c>
      <c r="D64" s="17" t="s">
        <v>142</v>
      </c>
      <c r="E64" s="17" t="s">
        <v>142</v>
      </c>
      <c r="F64" s="17" t="s">
        <v>153</v>
      </c>
      <c r="G64" s="17" t="s">
        <v>159</v>
      </c>
      <c r="H64" s="17" t="s">
        <v>198</v>
      </c>
    </row>
    <row r="65" customFormat="false" ht="15" hidden="false" customHeight="false" outlineLevel="0" collapsed="false">
      <c r="A65" s="18" t="n">
        <v>46373</v>
      </c>
      <c r="B65" s="17" t="s">
        <v>203</v>
      </c>
      <c r="C65" s="17" t="s">
        <v>139</v>
      </c>
      <c r="D65" s="17" t="s">
        <v>142</v>
      </c>
      <c r="E65" s="17" t="s">
        <v>142</v>
      </c>
      <c r="F65" s="17" t="s">
        <v>153</v>
      </c>
      <c r="G65" s="17" t="s">
        <v>159</v>
      </c>
      <c r="H65" s="17" t="s">
        <v>199</v>
      </c>
    </row>
    <row r="66" customFormat="false" ht="15" hidden="false" customHeight="false" outlineLevel="0" collapsed="false">
      <c r="A66" s="18" t="n">
        <v>46374</v>
      </c>
      <c r="B66" s="17" t="s">
        <v>204</v>
      </c>
      <c r="C66" s="17" t="s">
        <v>139</v>
      </c>
      <c r="D66" s="17" t="s">
        <v>142</v>
      </c>
      <c r="E66" s="17" t="s">
        <v>142</v>
      </c>
      <c r="F66" s="17" t="s">
        <v>153</v>
      </c>
      <c r="G66" s="17" t="s">
        <v>159</v>
      </c>
      <c r="H66" s="17" t="s">
        <v>171</v>
      </c>
    </row>
    <row r="67" customFormat="false" ht="15" hidden="false" customHeight="false" outlineLevel="0" collapsed="false">
      <c r="A67" s="18" t="n">
        <v>46375</v>
      </c>
      <c r="B67" s="17" t="s">
        <v>205</v>
      </c>
      <c r="C67" s="17" t="s">
        <v>139</v>
      </c>
      <c r="D67" s="17" t="s">
        <v>142</v>
      </c>
      <c r="E67" s="17" t="s">
        <v>142</v>
      </c>
      <c r="F67" s="17" t="s">
        <v>153</v>
      </c>
      <c r="G67" s="17" t="s">
        <v>159</v>
      </c>
      <c r="H67" s="17" t="s">
        <v>172</v>
      </c>
    </row>
    <row r="68" customFormat="false" ht="15" hidden="false" customHeight="false" outlineLevel="0" collapsed="false">
      <c r="A68" s="18" t="n">
        <v>46376</v>
      </c>
      <c r="B68" s="17" t="s">
        <v>206</v>
      </c>
      <c r="C68" s="17" t="s">
        <v>139</v>
      </c>
      <c r="D68" s="17" t="s">
        <v>142</v>
      </c>
      <c r="E68" s="17" t="s">
        <v>142</v>
      </c>
      <c r="F68" s="17" t="s">
        <v>153</v>
      </c>
      <c r="G68" s="17" t="s">
        <v>159</v>
      </c>
      <c r="H68" s="17" t="s">
        <v>173</v>
      </c>
    </row>
    <row r="69" customFormat="false" ht="15" hidden="false" customHeight="false" outlineLevel="0" collapsed="false">
      <c r="A69" s="18" t="n">
        <v>46377</v>
      </c>
      <c r="B69" s="17" t="s">
        <v>207</v>
      </c>
      <c r="C69" s="17" t="s">
        <v>139</v>
      </c>
      <c r="D69" s="17" t="s">
        <v>142</v>
      </c>
      <c r="E69" s="17" t="s">
        <v>142</v>
      </c>
      <c r="F69" s="17" t="s">
        <v>153</v>
      </c>
      <c r="G69" s="17" t="s">
        <v>159</v>
      </c>
      <c r="H69" s="17" t="s">
        <v>174</v>
      </c>
    </row>
    <row r="70" customFormat="false" ht="15" hidden="false" customHeight="false" outlineLevel="0" collapsed="false">
      <c r="A70" s="18" t="n">
        <v>46378</v>
      </c>
      <c r="B70" s="17" t="s">
        <v>208</v>
      </c>
      <c r="C70" s="17" t="s">
        <v>139</v>
      </c>
      <c r="D70" s="17" t="s">
        <v>142</v>
      </c>
      <c r="E70" s="17" t="s">
        <v>142</v>
      </c>
      <c r="F70" s="17" t="s">
        <v>153</v>
      </c>
      <c r="G70" s="17" t="s">
        <v>159</v>
      </c>
      <c r="H70" s="17" t="s">
        <v>175</v>
      </c>
    </row>
    <row r="71" customFormat="false" ht="15" hidden="false" customHeight="false" outlineLevel="0" collapsed="false">
      <c r="A71" s="18" t="n">
        <v>46379</v>
      </c>
      <c r="B71" s="17" t="s">
        <v>209</v>
      </c>
      <c r="C71" s="17" t="s">
        <v>139</v>
      </c>
      <c r="D71" s="17" t="s">
        <v>142</v>
      </c>
      <c r="E71" s="17" t="s">
        <v>142</v>
      </c>
      <c r="F71" s="17" t="s">
        <v>153</v>
      </c>
      <c r="G71" s="17" t="s">
        <v>159</v>
      </c>
      <c r="H71" s="17" t="s">
        <v>176</v>
      </c>
    </row>
    <row r="72" customFormat="false" ht="15" hidden="false" customHeight="false" outlineLevel="0" collapsed="false">
      <c r="A72" s="18" t="n">
        <v>46380</v>
      </c>
      <c r="B72" s="17" t="s">
        <v>203</v>
      </c>
      <c r="C72" s="17" t="s">
        <v>139</v>
      </c>
      <c r="D72" s="17" t="s">
        <v>142</v>
      </c>
      <c r="E72" s="17" t="s">
        <v>142</v>
      </c>
      <c r="F72" s="17" t="s">
        <v>153</v>
      </c>
      <c r="G72" s="17" t="s">
        <v>159</v>
      </c>
      <c r="H72" s="17" t="s">
        <v>177</v>
      </c>
    </row>
    <row r="73" customFormat="false" ht="15" hidden="false" customHeight="false" outlineLevel="0" collapsed="false">
      <c r="A73" s="18" t="n">
        <v>46381</v>
      </c>
      <c r="B73" s="17" t="s">
        <v>204</v>
      </c>
      <c r="C73" s="17" t="s">
        <v>139</v>
      </c>
      <c r="D73" s="17" t="s">
        <v>142</v>
      </c>
      <c r="E73" s="17" t="s">
        <v>142</v>
      </c>
      <c r="F73" s="17" t="s">
        <v>153</v>
      </c>
      <c r="G73" s="17" t="s">
        <v>159</v>
      </c>
      <c r="H73" s="17" t="s">
        <v>178</v>
      </c>
    </row>
    <row r="74" customFormat="false" ht="15" hidden="false" customHeight="false" outlineLevel="0" collapsed="false">
      <c r="A74" s="18" t="n">
        <v>46382</v>
      </c>
      <c r="B74" s="17" t="s">
        <v>205</v>
      </c>
      <c r="C74" s="17" t="s">
        <v>139</v>
      </c>
      <c r="D74" s="17" t="s">
        <v>142</v>
      </c>
      <c r="E74" s="17" t="s">
        <v>142</v>
      </c>
      <c r="F74" s="17" t="s">
        <v>153</v>
      </c>
      <c r="G74" s="17" t="s">
        <v>159</v>
      </c>
      <c r="H74" s="17" t="s">
        <v>179</v>
      </c>
    </row>
    <row r="75" customFormat="false" ht="15" hidden="false" customHeight="false" outlineLevel="0" collapsed="false">
      <c r="A75" s="18" t="n">
        <v>46383</v>
      </c>
      <c r="B75" s="17" t="s">
        <v>206</v>
      </c>
      <c r="C75" s="17" t="s">
        <v>139</v>
      </c>
      <c r="D75" s="17" t="s">
        <v>142</v>
      </c>
      <c r="E75" s="17" t="s">
        <v>142</v>
      </c>
      <c r="F75" s="17" t="s">
        <v>153</v>
      </c>
      <c r="G75" s="17" t="s">
        <v>159</v>
      </c>
      <c r="H75" s="17" t="s">
        <v>180</v>
      </c>
    </row>
    <row r="76" customFormat="false" ht="15" hidden="false" customHeight="false" outlineLevel="0" collapsed="false">
      <c r="A76" s="18" t="n">
        <v>46384</v>
      </c>
      <c r="B76" s="17" t="s">
        <v>207</v>
      </c>
      <c r="C76" s="17" t="s">
        <v>139</v>
      </c>
      <c r="D76" s="17" t="s">
        <v>142</v>
      </c>
      <c r="E76" s="17" t="s">
        <v>142</v>
      </c>
      <c r="F76" s="17" t="s">
        <v>153</v>
      </c>
      <c r="G76" s="17" t="s">
        <v>159</v>
      </c>
      <c r="H76" s="17" t="s">
        <v>182</v>
      </c>
    </row>
    <row r="77" customFormat="false" ht="15" hidden="false" customHeight="false" outlineLevel="0" collapsed="false">
      <c r="A77" s="18" t="n">
        <v>46385</v>
      </c>
      <c r="B77" s="17" t="s">
        <v>208</v>
      </c>
      <c r="C77" s="17" t="s">
        <v>139</v>
      </c>
      <c r="D77" s="17" t="s">
        <v>142</v>
      </c>
      <c r="E77" s="17" t="s">
        <v>142</v>
      </c>
      <c r="F77" s="17" t="s">
        <v>153</v>
      </c>
      <c r="G77" s="17" t="s">
        <v>159</v>
      </c>
      <c r="H77" s="17" t="s">
        <v>183</v>
      </c>
    </row>
    <row r="78" customFormat="false" ht="15" hidden="false" customHeight="false" outlineLevel="0" collapsed="false">
      <c r="A78" s="18" t="n">
        <v>46386</v>
      </c>
      <c r="B78" s="17" t="s">
        <v>209</v>
      </c>
      <c r="C78" s="17" t="s">
        <v>139</v>
      </c>
      <c r="D78" s="17" t="s">
        <v>142</v>
      </c>
      <c r="E78" s="17" t="s">
        <v>142</v>
      </c>
      <c r="F78" s="17" t="s">
        <v>153</v>
      </c>
      <c r="G78" s="17" t="s">
        <v>159</v>
      </c>
      <c r="H78" s="17" t="s">
        <v>184</v>
      </c>
    </row>
    <row r="79" customFormat="false" ht="15" hidden="false" customHeight="false" outlineLevel="0" collapsed="false">
      <c r="A79" s="18" t="n">
        <v>46387</v>
      </c>
      <c r="B79" s="17" t="s">
        <v>203</v>
      </c>
      <c r="C79" s="17" t="s">
        <v>139</v>
      </c>
      <c r="D79" s="17" t="s">
        <v>142</v>
      </c>
      <c r="E79" s="17" t="s">
        <v>142</v>
      </c>
      <c r="F79" s="17" t="s">
        <v>153</v>
      </c>
      <c r="G79" s="17" t="s">
        <v>159</v>
      </c>
      <c r="H79" s="17" t="s">
        <v>185</v>
      </c>
    </row>
    <row r="80" customFormat="false" ht="15" hidden="false" customHeight="false" outlineLevel="0" collapsed="false">
      <c r="A80" s="18" t="n">
        <v>46388</v>
      </c>
      <c r="B80" s="17" t="s">
        <v>204</v>
      </c>
      <c r="C80" s="17" t="s">
        <v>139</v>
      </c>
      <c r="D80" s="17" t="s">
        <v>142</v>
      </c>
      <c r="E80" s="17" t="s">
        <v>142</v>
      </c>
      <c r="F80" s="17" t="s">
        <v>153</v>
      </c>
      <c r="G80" s="17" t="s">
        <v>159</v>
      </c>
      <c r="H80" s="17" t="s">
        <v>186</v>
      </c>
    </row>
    <row r="81" customFormat="false" ht="15" hidden="false" customHeight="false" outlineLevel="0" collapsed="false">
      <c r="A81" s="18" t="n">
        <v>46389</v>
      </c>
      <c r="B81" s="17" t="s">
        <v>205</v>
      </c>
      <c r="C81" s="17" t="s">
        <v>139</v>
      </c>
      <c r="D81" s="17" t="s">
        <v>142</v>
      </c>
      <c r="E81" s="17" t="s">
        <v>142</v>
      </c>
      <c r="F81" s="17" t="s">
        <v>153</v>
      </c>
      <c r="G81" s="17" t="s">
        <v>159</v>
      </c>
      <c r="H81" s="17" t="s">
        <v>187</v>
      </c>
    </row>
    <row r="82" customFormat="false" ht="15" hidden="false" customHeight="false" outlineLevel="0" collapsed="false">
      <c r="A82" s="18" t="n">
        <v>46390</v>
      </c>
      <c r="B82" s="17" t="s">
        <v>206</v>
      </c>
      <c r="C82" s="17" t="s">
        <v>139</v>
      </c>
      <c r="D82" s="17" t="s">
        <v>142</v>
      </c>
      <c r="E82" s="17" t="s">
        <v>142</v>
      </c>
      <c r="F82" s="17" t="s">
        <v>153</v>
      </c>
      <c r="G82" s="17" t="s">
        <v>159</v>
      </c>
      <c r="H82" s="17" t="s">
        <v>188</v>
      </c>
    </row>
    <row r="83" customFormat="false" ht="15" hidden="false" customHeight="false" outlineLevel="0" collapsed="false">
      <c r="A83" s="18" t="n">
        <v>46391</v>
      </c>
      <c r="B83" s="17" t="s">
        <v>207</v>
      </c>
      <c r="C83" s="17" t="s">
        <v>139</v>
      </c>
      <c r="D83" s="17" t="s">
        <v>142</v>
      </c>
      <c r="E83" s="17" t="s">
        <v>142</v>
      </c>
      <c r="F83" s="17" t="s">
        <v>153</v>
      </c>
      <c r="G83" s="17" t="s">
        <v>159</v>
      </c>
      <c r="H83" s="17" t="s">
        <v>189</v>
      </c>
    </row>
    <row r="84" customFormat="false" ht="15" hidden="false" customHeight="false" outlineLevel="0" collapsed="false">
      <c r="A84" s="18" t="n">
        <v>46392</v>
      </c>
      <c r="B84" s="17" t="s">
        <v>208</v>
      </c>
      <c r="C84" s="17" t="s">
        <v>139</v>
      </c>
      <c r="D84" s="17" t="s">
        <v>142</v>
      </c>
      <c r="E84" s="17" t="s">
        <v>142</v>
      </c>
      <c r="F84" s="17" t="s">
        <v>153</v>
      </c>
      <c r="G84" s="17" t="s">
        <v>159</v>
      </c>
      <c r="H84" s="17" t="s">
        <v>190</v>
      </c>
    </row>
    <row r="85" customFormat="false" ht="15" hidden="false" customHeight="false" outlineLevel="0" collapsed="false">
      <c r="A85" s="18" t="n">
        <v>46393</v>
      </c>
      <c r="B85" s="17" t="s">
        <v>209</v>
      </c>
      <c r="C85" s="17" t="s">
        <v>139</v>
      </c>
      <c r="D85" s="17" t="s">
        <v>142</v>
      </c>
      <c r="E85" s="17" t="s">
        <v>142</v>
      </c>
      <c r="F85" s="17" t="s">
        <v>153</v>
      </c>
      <c r="G85" s="17" t="s">
        <v>159</v>
      </c>
      <c r="H85" s="17" t="s">
        <v>191</v>
      </c>
    </row>
    <row r="86" customFormat="false" ht="15" hidden="false" customHeight="false" outlineLevel="0" collapsed="false">
      <c r="A86" s="18" t="n">
        <v>46394</v>
      </c>
      <c r="B86" s="17" t="s">
        <v>203</v>
      </c>
      <c r="C86" s="17" t="s">
        <v>139</v>
      </c>
      <c r="D86" s="17" t="s">
        <v>142</v>
      </c>
      <c r="E86" s="17" t="s">
        <v>142</v>
      </c>
      <c r="F86" s="17" t="s">
        <v>153</v>
      </c>
      <c r="G86" s="17" t="s">
        <v>159</v>
      </c>
      <c r="H86" s="17" t="s">
        <v>193</v>
      </c>
    </row>
    <row r="87" customFormat="false" ht="15" hidden="false" customHeight="false" outlineLevel="0" collapsed="false">
      <c r="A87" s="18" t="n">
        <v>46395</v>
      </c>
      <c r="B87" s="17" t="s">
        <v>204</v>
      </c>
      <c r="C87" s="17" t="s">
        <v>139</v>
      </c>
      <c r="D87" s="17" t="s">
        <v>142</v>
      </c>
      <c r="E87" s="17" t="s">
        <v>142</v>
      </c>
      <c r="F87" s="17" t="s">
        <v>154</v>
      </c>
      <c r="G87" s="17" t="s">
        <v>159</v>
      </c>
      <c r="H87" s="17" t="s">
        <v>170</v>
      </c>
    </row>
    <row r="88" customFormat="false" ht="15" hidden="false" customHeight="false" outlineLevel="0" collapsed="false">
      <c r="A88" s="18" t="n">
        <v>46396</v>
      </c>
      <c r="B88" s="17" t="s">
        <v>205</v>
      </c>
      <c r="C88" s="17" t="s">
        <v>139</v>
      </c>
      <c r="D88" s="17" t="s">
        <v>142</v>
      </c>
      <c r="E88" s="17" t="s">
        <v>142</v>
      </c>
      <c r="F88" s="17" t="s">
        <v>154</v>
      </c>
      <c r="G88" s="17" t="s">
        <v>159</v>
      </c>
      <c r="H88" s="17" t="s">
        <v>181</v>
      </c>
    </row>
    <row r="89" customFormat="false" ht="15" hidden="false" customHeight="false" outlineLevel="0" collapsed="false">
      <c r="A89" s="18" t="n">
        <v>46397</v>
      </c>
      <c r="B89" s="17" t="s">
        <v>206</v>
      </c>
      <c r="C89" s="17" t="s">
        <v>139</v>
      </c>
      <c r="D89" s="17" t="s">
        <v>142</v>
      </c>
      <c r="E89" s="17" t="s">
        <v>142</v>
      </c>
      <c r="F89" s="17" t="s">
        <v>154</v>
      </c>
      <c r="G89" s="17" t="s">
        <v>159</v>
      </c>
      <c r="H89" s="17" t="s">
        <v>192</v>
      </c>
    </row>
    <row r="90" customFormat="false" ht="15" hidden="false" customHeight="false" outlineLevel="0" collapsed="false">
      <c r="A90" s="18" t="n">
        <v>46398</v>
      </c>
      <c r="B90" s="17" t="s">
        <v>207</v>
      </c>
      <c r="C90" s="17" t="s">
        <v>139</v>
      </c>
      <c r="D90" s="17" t="s">
        <v>142</v>
      </c>
      <c r="E90" s="17" t="s">
        <v>142</v>
      </c>
      <c r="F90" s="17" t="s">
        <v>154</v>
      </c>
      <c r="G90" s="17" t="s">
        <v>159</v>
      </c>
      <c r="H90" s="17" t="s">
        <v>194</v>
      </c>
    </row>
    <row r="91" customFormat="false" ht="15" hidden="false" customHeight="false" outlineLevel="0" collapsed="false">
      <c r="A91" s="18" t="n">
        <v>46399</v>
      </c>
      <c r="B91" s="17" t="s">
        <v>208</v>
      </c>
      <c r="C91" s="17" t="s">
        <v>139</v>
      </c>
      <c r="D91" s="17" t="s">
        <v>142</v>
      </c>
      <c r="E91" s="17" t="s">
        <v>142</v>
      </c>
      <c r="F91" s="17" t="s">
        <v>154</v>
      </c>
      <c r="G91" s="17" t="s">
        <v>159</v>
      </c>
      <c r="H91" s="17" t="s">
        <v>195</v>
      </c>
    </row>
    <row r="92" customFormat="false" ht="15" hidden="false" customHeight="false" outlineLevel="0" collapsed="false">
      <c r="A92" s="18" t="n">
        <v>46400</v>
      </c>
      <c r="B92" s="17" t="s">
        <v>209</v>
      </c>
      <c r="C92" s="17" t="s">
        <v>139</v>
      </c>
      <c r="D92" s="17" t="s">
        <v>142</v>
      </c>
      <c r="E92" s="17" t="s">
        <v>142</v>
      </c>
      <c r="F92" s="17" t="s">
        <v>154</v>
      </c>
      <c r="G92" s="17" t="s">
        <v>159</v>
      </c>
      <c r="H92" s="17" t="s">
        <v>196</v>
      </c>
    </row>
    <row r="93" customFormat="false" ht="15" hidden="false" customHeight="false" outlineLevel="0" collapsed="false">
      <c r="A93" s="18" t="n">
        <v>46401</v>
      </c>
      <c r="B93" s="17" t="s">
        <v>203</v>
      </c>
      <c r="C93" s="17" t="s">
        <v>139</v>
      </c>
      <c r="D93" s="17" t="s">
        <v>142</v>
      </c>
      <c r="E93" s="17" t="s">
        <v>142</v>
      </c>
      <c r="F93" s="17" t="s">
        <v>154</v>
      </c>
      <c r="G93" s="17" t="s">
        <v>159</v>
      </c>
      <c r="H93" s="17" t="s">
        <v>197</v>
      </c>
    </row>
    <row r="94" customFormat="false" ht="15" hidden="false" customHeight="false" outlineLevel="0" collapsed="false">
      <c r="A94" s="18" t="n">
        <v>46402</v>
      </c>
      <c r="B94" s="17" t="s">
        <v>204</v>
      </c>
      <c r="C94" s="17" t="s">
        <v>139</v>
      </c>
      <c r="D94" s="17" t="s">
        <v>142</v>
      </c>
      <c r="E94" s="17" t="s">
        <v>142</v>
      </c>
      <c r="F94" s="17" t="s">
        <v>154</v>
      </c>
      <c r="G94" s="17" t="s">
        <v>159</v>
      </c>
      <c r="H94" s="17" t="s">
        <v>198</v>
      </c>
    </row>
    <row r="95" customFormat="false" ht="15" hidden="false" customHeight="false" outlineLevel="0" collapsed="false">
      <c r="A95" s="18" t="n">
        <v>46403</v>
      </c>
      <c r="B95" s="17" t="s">
        <v>205</v>
      </c>
      <c r="C95" s="17" t="s">
        <v>139</v>
      </c>
      <c r="D95" s="17" t="s">
        <v>142</v>
      </c>
      <c r="E95" s="17" t="s">
        <v>142</v>
      </c>
      <c r="F95" s="17" t="s">
        <v>154</v>
      </c>
      <c r="G95" s="17" t="s">
        <v>159</v>
      </c>
      <c r="H95" s="17" t="s">
        <v>199</v>
      </c>
    </row>
    <row r="96" customFormat="false" ht="15" hidden="false" customHeight="false" outlineLevel="0" collapsed="false">
      <c r="A96" s="18" t="n">
        <v>46404</v>
      </c>
      <c r="B96" s="17" t="s">
        <v>206</v>
      </c>
      <c r="C96" s="17" t="s">
        <v>139</v>
      </c>
      <c r="D96" s="17" t="s">
        <v>142</v>
      </c>
      <c r="E96" s="17" t="s">
        <v>142</v>
      </c>
      <c r="F96" s="17" t="s">
        <v>154</v>
      </c>
      <c r="G96" s="17" t="s">
        <v>159</v>
      </c>
      <c r="H96" s="17" t="s">
        <v>171</v>
      </c>
    </row>
    <row r="97" customFormat="false" ht="15" hidden="false" customHeight="false" outlineLevel="0" collapsed="false">
      <c r="A97" s="18" t="n">
        <v>46405</v>
      </c>
      <c r="B97" s="17" t="s">
        <v>207</v>
      </c>
      <c r="C97" s="17" t="s">
        <v>139</v>
      </c>
      <c r="D97" s="17" t="s">
        <v>142</v>
      </c>
      <c r="E97" s="17" t="s">
        <v>142</v>
      </c>
      <c r="F97" s="17" t="s">
        <v>154</v>
      </c>
      <c r="G97" s="17" t="s">
        <v>159</v>
      </c>
      <c r="H97" s="17" t="s">
        <v>172</v>
      </c>
    </row>
    <row r="98" customFormat="false" ht="15" hidden="false" customHeight="false" outlineLevel="0" collapsed="false">
      <c r="A98" s="18" t="n">
        <v>46406</v>
      </c>
      <c r="B98" s="17" t="s">
        <v>208</v>
      </c>
      <c r="C98" s="17" t="s">
        <v>139</v>
      </c>
      <c r="D98" s="17" t="s">
        <v>142</v>
      </c>
      <c r="E98" s="17" t="s">
        <v>142</v>
      </c>
      <c r="F98" s="17" t="s">
        <v>154</v>
      </c>
      <c r="G98" s="17" t="s">
        <v>159</v>
      </c>
      <c r="H98" s="17" t="s">
        <v>173</v>
      </c>
    </row>
    <row r="99" customFormat="false" ht="15" hidden="false" customHeight="false" outlineLevel="0" collapsed="false">
      <c r="A99" s="18" t="n">
        <v>46407</v>
      </c>
      <c r="B99" s="17" t="s">
        <v>209</v>
      </c>
      <c r="C99" s="17" t="s">
        <v>139</v>
      </c>
      <c r="D99" s="17" t="s">
        <v>142</v>
      </c>
      <c r="E99" s="17" t="s">
        <v>142</v>
      </c>
      <c r="F99" s="17" t="s">
        <v>154</v>
      </c>
      <c r="G99" s="17" t="s">
        <v>159</v>
      </c>
      <c r="H99" s="17" t="s">
        <v>174</v>
      </c>
    </row>
    <row r="100" customFormat="false" ht="15" hidden="false" customHeight="false" outlineLevel="0" collapsed="false">
      <c r="A100" s="18" t="n">
        <v>46408</v>
      </c>
      <c r="B100" s="17" t="s">
        <v>203</v>
      </c>
      <c r="C100" s="17" t="s">
        <v>139</v>
      </c>
      <c r="D100" s="17" t="s">
        <v>142</v>
      </c>
      <c r="E100" s="17" t="s">
        <v>142</v>
      </c>
      <c r="F100" s="17" t="s">
        <v>154</v>
      </c>
      <c r="G100" s="17" t="s">
        <v>159</v>
      </c>
      <c r="H100" s="17" t="s">
        <v>175</v>
      </c>
    </row>
    <row r="101" customFormat="false" ht="15" hidden="false" customHeight="false" outlineLevel="0" collapsed="false">
      <c r="A101" s="18" t="n">
        <v>46409</v>
      </c>
      <c r="B101" s="17" t="s">
        <v>204</v>
      </c>
      <c r="C101" s="17" t="s">
        <v>139</v>
      </c>
      <c r="D101" s="17" t="s">
        <v>142</v>
      </c>
      <c r="E101" s="17" t="s">
        <v>142</v>
      </c>
      <c r="F101" s="17" t="s">
        <v>154</v>
      </c>
      <c r="G101" s="17" t="s">
        <v>159</v>
      </c>
      <c r="H101" s="17" t="s">
        <v>176</v>
      </c>
    </row>
    <row r="102" customFormat="false" ht="15" hidden="false" customHeight="false" outlineLevel="0" collapsed="false">
      <c r="A102" s="18" t="n">
        <v>46410</v>
      </c>
      <c r="B102" s="17" t="s">
        <v>205</v>
      </c>
      <c r="C102" s="17" t="s">
        <v>139</v>
      </c>
      <c r="D102" s="17" t="s">
        <v>142</v>
      </c>
      <c r="E102" s="17" t="s">
        <v>142</v>
      </c>
      <c r="F102" s="17" t="s">
        <v>154</v>
      </c>
      <c r="G102" s="17" t="s">
        <v>159</v>
      </c>
      <c r="H102" s="17" t="s">
        <v>177</v>
      </c>
    </row>
    <row r="103" customFormat="false" ht="15" hidden="false" customHeight="false" outlineLevel="0" collapsed="false">
      <c r="A103" s="18" t="n">
        <v>46411</v>
      </c>
      <c r="B103" s="17" t="s">
        <v>206</v>
      </c>
      <c r="C103" s="17" t="s">
        <v>139</v>
      </c>
      <c r="D103" s="17" t="s">
        <v>142</v>
      </c>
      <c r="E103" s="17" t="s">
        <v>142</v>
      </c>
      <c r="F103" s="17" t="s">
        <v>154</v>
      </c>
      <c r="G103" s="17" t="s">
        <v>159</v>
      </c>
      <c r="H103" s="17" t="s">
        <v>178</v>
      </c>
    </row>
    <row r="104" customFormat="false" ht="15" hidden="false" customHeight="false" outlineLevel="0" collapsed="false">
      <c r="A104" s="18" t="n">
        <v>46412</v>
      </c>
      <c r="B104" s="17" t="s">
        <v>207</v>
      </c>
      <c r="C104" s="17" t="s">
        <v>139</v>
      </c>
      <c r="D104" s="17" t="s">
        <v>142</v>
      </c>
      <c r="E104" s="17" t="s">
        <v>142</v>
      </c>
      <c r="F104" s="17" t="s">
        <v>154</v>
      </c>
      <c r="G104" s="17" t="s">
        <v>159</v>
      </c>
      <c r="H104" s="17" t="s">
        <v>179</v>
      </c>
    </row>
    <row r="105" customFormat="false" ht="15" hidden="false" customHeight="false" outlineLevel="0" collapsed="false">
      <c r="A105" s="18" t="n">
        <v>46413</v>
      </c>
      <c r="B105" s="17" t="s">
        <v>208</v>
      </c>
      <c r="C105" s="17" t="s">
        <v>139</v>
      </c>
      <c r="D105" s="17" t="s">
        <v>142</v>
      </c>
      <c r="E105" s="17" t="s">
        <v>142</v>
      </c>
      <c r="F105" s="17" t="s">
        <v>154</v>
      </c>
      <c r="G105" s="17" t="s">
        <v>159</v>
      </c>
      <c r="H105" s="17" t="s">
        <v>180</v>
      </c>
    </row>
    <row r="106" customFormat="false" ht="15" hidden="false" customHeight="false" outlineLevel="0" collapsed="false">
      <c r="A106" s="18" t="n">
        <v>46414</v>
      </c>
      <c r="B106" s="17" t="s">
        <v>209</v>
      </c>
      <c r="C106" s="17" t="s">
        <v>139</v>
      </c>
      <c r="D106" s="17" t="s">
        <v>142</v>
      </c>
      <c r="E106" s="17" t="s">
        <v>142</v>
      </c>
      <c r="F106" s="17" t="s">
        <v>154</v>
      </c>
      <c r="G106" s="17" t="s">
        <v>159</v>
      </c>
      <c r="H106" s="17" t="s">
        <v>182</v>
      </c>
    </row>
    <row r="107" customFormat="false" ht="15" hidden="false" customHeight="false" outlineLevel="0" collapsed="false">
      <c r="A107" s="18" t="n">
        <v>46415</v>
      </c>
      <c r="B107" s="17" t="s">
        <v>203</v>
      </c>
      <c r="C107" s="17" t="s">
        <v>139</v>
      </c>
      <c r="D107" s="17" t="s">
        <v>142</v>
      </c>
      <c r="E107" s="17" t="s">
        <v>142</v>
      </c>
      <c r="F107" s="17" t="s">
        <v>154</v>
      </c>
      <c r="G107" s="17" t="s">
        <v>159</v>
      </c>
      <c r="H107" s="17" t="s">
        <v>183</v>
      </c>
    </row>
    <row r="108" customFormat="false" ht="15" hidden="false" customHeight="false" outlineLevel="0" collapsed="false">
      <c r="A108" s="18" t="n">
        <v>46416</v>
      </c>
      <c r="B108" s="17" t="s">
        <v>204</v>
      </c>
      <c r="C108" s="17" t="s">
        <v>139</v>
      </c>
      <c r="D108" s="17" t="s">
        <v>142</v>
      </c>
      <c r="E108" s="17" t="s">
        <v>142</v>
      </c>
      <c r="F108" s="17" t="s">
        <v>154</v>
      </c>
      <c r="G108" s="17" t="s">
        <v>159</v>
      </c>
      <c r="H108" s="17" t="s">
        <v>184</v>
      </c>
    </row>
    <row r="109" customFormat="false" ht="15" hidden="false" customHeight="false" outlineLevel="0" collapsed="false">
      <c r="A109" s="18" t="n">
        <v>46417</v>
      </c>
      <c r="B109" s="17" t="s">
        <v>205</v>
      </c>
      <c r="C109" s="17" t="s">
        <v>139</v>
      </c>
      <c r="D109" s="17" t="s">
        <v>142</v>
      </c>
      <c r="E109" s="17" t="s">
        <v>142</v>
      </c>
      <c r="F109" s="17" t="s">
        <v>154</v>
      </c>
      <c r="G109" s="17" t="s">
        <v>159</v>
      </c>
      <c r="H109" s="17" t="s">
        <v>185</v>
      </c>
    </row>
    <row r="110" customFormat="false" ht="15" hidden="false" customHeight="false" outlineLevel="0" collapsed="false">
      <c r="A110" s="18" t="n">
        <v>46418</v>
      </c>
      <c r="B110" s="17" t="s">
        <v>206</v>
      </c>
      <c r="C110" s="17" t="s">
        <v>139</v>
      </c>
      <c r="D110" s="17" t="s">
        <v>142</v>
      </c>
      <c r="E110" s="17" t="s">
        <v>142</v>
      </c>
      <c r="F110" s="17" t="s">
        <v>154</v>
      </c>
      <c r="G110" s="17" t="s">
        <v>159</v>
      </c>
      <c r="H110" s="17" t="s">
        <v>186</v>
      </c>
    </row>
    <row r="111" customFormat="false" ht="15" hidden="false" customHeight="false" outlineLevel="0" collapsed="false">
      <c r="A111" s="18" t="n">
        <v>46419</v>
      </c>
      <c r="B111" s="17" t="s">
        <v>207</v>
      </c>
      <c r="C111" s="17" t="s">
        <v>139</v>
      </c>
      <c r="D111" s="17" t="s">
        <v>142</v>
      </c>
      <c r="E111" s="17" t="s">
        <v>142</v>
      </c>
      <c r="F111" s="17" t="s">
        <v>154</v>
      </c>
      <c r="G111" s="17" t="s">
        <v>159</v>
      </c>
      <c r="H111" s="17" t="s">
        <v>187</v>
      </c>
    </row>
    <row r="112" customFormat="false" ht="15" hidden="false" customHeight="false" outlineLevel="0" collapsed="false">
      <c r="A112" s="18" t="n">
        <v>46420</v>
      </c>
      <c r="B112" s="17" t="s">
        <v>208</v>
      </c>
      <c r="C112" s="17" t="s">
        <v>139</v>
      </c>
      <c r="D112" s="17" t="s">
        <v>142</v>
      </c>
      <c r="E112" s="17" t="s">
        <v>142</v>
      </c>
      <c r="F112" s="17" t="s">
        <v>154</v>
      </c>
      <c r="G112" s="17" t="s">
        <v>159</v>
      </c>
      <c r="H112" s="17" t="s">
        <v>188</v>
      </c>
    </row>
    <row r="113" customFormat="false" ht="15" hidden="false" customHeight="false" outlineLevel="0" collapsed="false">
      <c r="A113" s="18" t="n">
        <v>46421</v>
      </c>
      <c r="B113" s="17" t="s">
        <v>209</v>
      </c>
      <c r="C113" s="17" t="s">
        <v>139</v>
      </c>
      <c r="D113" s="17" t="s">
        <v>142</v>
      </c>
      <c r="E113" s="17" t="s">
        <v>142</v>
      </c>
      <c r="F113" s="17" t="s">
        <v>154</v>
      </c>
      <c r="G113" s="17" t="s">
        <v>159</v>
      </c>
      <c r="H113" s="17" t="s">
        <v>189</v>
      </c>
    </row>
    <row r="114" customFormat="false" ht="15" hidden="false" customHeight="false" outlineLevel="0" collapsed="false">
      <c r="A114" s="18" t="n">
        <v>46422</v>
      </c>
      <c r="B114" s="17" t="s">
        <v>203</v>
      </c>
      <c r="C114" s="17" t="s">
        <v>139</v>
      </c>
      <c r="D114" s="17" t="s">
        <v>142</v>
      </c>
      <c r="E114" s="17" t="s">
        <v>142</v>
      </c>
      <c r="F114" s="17" t="s">
        <v>154</v>
      </c>
      <c r="G114" s="17" t="s">
        <v>159</v>
      </c>
      <c r="H114" s="17" t="s">
        <v>190</v>
      </c>
    </row>
    <row r="115" customFormat="false" ht="15" hidden="false" customHeight="false" outlineLevel="0" collapsed="false">
      <c r="A115" s="18" t="n">
        <v>46423</v>
      </c>
      <c r="B115" s="17" t="s">
        <v>204</v>
      </c>
      <c r="C115" s="17" t="s">
        <v>139</v>
      </c>
      <c r="D115" s="17" t="s">
        <v>142</v>
      </c>
      <c r="E115" s="17" t="s">
        <v>142</v>
      </c>
      <c r="F115" s="17" t="s">
        <v>154</v>
      </c>
      <c r="G115" s="17" t="s">
        <v>159</v>
      </c>
      <c r="H115" s="17" t="s">
        <v>191</v>
      </c>
    </row>
    <row r="116" customFormat="false" ht="15" hidden="false" customHeight="false" outlineLevel="0" collapsed="false">
      <c r="A116" s="18" t="n">
        <v>46424</v>
      </c>
      <c r="B116" s="17" t="s">
        <v>205</v>
      </c>
      <c r="C116" s="17" t="s">
        <v>140</v>
      </c>
      <c r="D116" s="17" t="s">
        <v>142</v>
      </c>
      <c r="E116" s="17" t="s">
        <v>142</v>
      </c>
      <c r="F116" s="17" t="s">
        <v>154</v>
      </c>
      <c r="G116" s="17" t="s">
        <v>160</v>
      </c>
      <c r="H116" s="17" t="s">
        <v>170</v>
      </c>
    </row>
    <row r="117" customFormat="false" ht="15" hidden="false" customHeight="false" outlineLevel="0" collapsed="false">
      <c r="A117" s="18" t="n">
        <v>46425</v>
      </c>
      <c r="B117" s="17" t="s">
        <v>206</v>
      </c>
      <c r="C117" s="17" t="s">
        <v>140</v>
      </c>
      <c r="D117" s="17" t="s">
        <v>142</v>
      </c>
      <c r="E117" s="17" t="s">
        <v>142</v>
      </c>
      <c r="F117" s="17" t="s">
        <v>152</v>
      </c>
      <c r="G117" s="17" t="s">
        <v>160</v>
      </c>
      <c r="H117" s="17" t="s">
        <v>181</v>
      </c>
    </row>
    <row r="118" customFormat="false" ht="15" hidden="false" customHeight="false" outlineLevel="0" collapsed="false">
      <c r="A118" s="18" t="n">
        <v>46426</v>
      </c>
      <c r="B118" s="17" t="s">
        <v>207</v>
      </c>
      <c r="C118" s="17" t="s">
        <v>140</v>
      </c>
      <c r="D118" s="17" t="s">
        <v>142</v>
      </c>
      <c r="E118" s="17" t="s">
        <v>142</v>
      </c>
      <c r="F118" s="17" t="s">
        <v>152</v>
      </c>
      <c r="G118" s="17" t="s">
        <v>160</v>
      </c>
      <c r="H118" s="17" t="s">
        <v>192</v>
      </c>
    </row>
    <row r="119" customFormat="false" ht="15" hidden="false" customHeight="false" outlineLevel="0" collapsed="false">
      <c r="A119" s="18" t="n">
        <v>46427</v>
      </c>
      <c r="B119" s="17" t="s">
        <v>208</v>
      </c>
      <c r="C119" s="17" t="s">
        <v>140</v>
      </c>
      <c r="D119" s="17" t="s">
        <v>142</v>
      </c>
      <c r="E119" s="17" t="s">
        <v>142</v>
      </c>
      <c r="F119" s="17" t="s">
        <v>152</v>
      </c>
      <c r="G119" s="17" t="s">
        <v>160</v>
      </c>
      <c r="H119" s="17" t="s">
        <v>194</v>
      </c>
    </row>
    <row r="120" customFormat="false" ht="15" hidden="false" customHeight="false" outlineLevel="0" collapsed="false">
      <c r="A120" s="18" t="n">
        <v>46428</v>
      </c>
      <c r="B120" s="17" t="s">
        <v>209</v>
      </c>
      <c r="C120" s="17" t="s">
        <v>140</v>
      </c>
      <c r="D120" s="17" t="s">
        <v>142</v>
      </c>
      <c r="E120" s="17" t="s">
        <v>142</v>
      </c>
      <c r="F120" s="17" t="s">
        <v>152</v>
      </c>
      <c r="G120" s="17" t="s">
        <v>160</v>
      </c>
      <c r="H120" s="17" t="s">
        <v>195</v>
      </c>
    </row>
    <row r="121" customFormat="false" ht="15" hidden="false" customHeight="false" outlineLevel="0" collapsed="false">
      <c r="A121" s="18" t="n">
        <v>46429</v>
      </c>
      <c r="B121" s="17" t="s">
        <v>203</v>
      </c>
      <c r="C121" s="17" t="s">
        <v>140</v>
      </c>
      <c r="D121" s="17" t="s">
        <v>142</v>
      </c>
      <c r="E121" s="17" t="s">
        <v>142</v>
      </c>
      <c r="F121" s="17" t="s">
        <v>152</v>
      </c>
      <c r="G121" s="17" t="s">
        <v>160</v>
      </c>
      <c r="H121" s="17" t="s">
        <v>196</v>
      </c>
    </row>
    <row r="122" customFormat="false" ht="15" hidden="false" customHeight="false" outlineLevel="0" collapsed="false">
      <c r="A122" s="18" t="n">
        <v>46430</v>
      </c>
      <c r="B122" s="17" t="s">
        <v>204</v>
      </c>
      <c r="C122" s="17" t="s">
        <v>140</v>
      </c>
      <c r="D122" s="17" t="s">
        <v>142</v>
      </c>
      <c r="E122" s="17" t="s">
        <v>142</v>
      </c>
      <c r="F122" s="17" t="s">
        <v>152</v>
      </c>
      <c r="G122" s="17" t="s">
        <v>160</v>
      </c>
      <c r="H122" s="17" t="s">
        <v>197</v>
      </c>
    </row>
    <row r="123" customFormat="false" ht="15" hidden="false" customHeight="false" outlineLevel="0" collapsed="false">
      <c r="A123" s="18" t="n">
        <v>46431</v>
      </c>
      <c r="B123" s="17" t="s">
        <v>205</v>
      </c>
      <c r="C123" s="17" t="s">
        <v>140</v>
      </c>
      <c r="D123" s="17" t="s">
        <v>142</v>
      </c>
      <c r="E123" s="17" t="s">
        <v>142</v>
      </c>
      <c r="F123" s="17" t="s">
        <v>152</v>
      </c>
      <c r="G123" s="17" t="s">
        <v>160</v>
      </c>
      <c r="H123" s="17" t="s">
        <v>198</v>
      </c>
    </row>
    <row r="124" customFormat="false" ht="15" hidden="false" customHeight="false" outlineLevel="0" collapsed="false">
      <c r="A124" s="18" t="n">
        <v>46432</v>
      </c>
      <c r="B124" s="17" t="s">
        <v>206</v>
      </c>
      <c r="C124" s="17" t="s">
        <v>140</v>
      </c>
      <c r="D124" s="17" t="s">
        <v>142</v>
      </c>
      <c r="E124" s="17" t="s">
        <v>142</v>
      </c>
      <c r="F124" s="17" t="s">
        <v>152</v>
      </c>
      <c r="G124" s="17" t="s">
        <v>160</v>
      </c>
      <c r="H124" s="17" t="s">
        <v>199</v>
      </c>
    </row>
    <row r="125" customFormat="false" ht="15" hidden="false" customHeight="false" outlineLevel="0" collapsed="false">
      <c r="A125" s="18" t="n">
        <v>46433</v>
      </c>
      <c r="B125" s="17" t="s">
        <v>207</v>
      </c>
      <c r="C125" s="17" t="s">
        <v>140</v>
      </c>
      <c r="D125" s="17" t="s">
        <v>142</v>
      </c>
      <c r="E125" s="17" t="s">
        <v>142</v>
      </c>
      <c r="F125" s="17" t="s">
        <v>152</v>
      </c>
      <c r="G125" s="17" t="s">
        <v>160</v>
      </c>
      <c r="H125" s="17" t="s">
        <v>171</v>
      </c>
    </row>
    <row r="126" customFormat="false" ht="15" hidden="false" customHeight="false" outlineLevel="0" collapsed="false">
      <c r="A126" s="18" t="n">
        <v>46434</v>
      </c>
      <c r="B126" s="17" t="s">
        <v>208</v>
      </c>
      <c r="C126" s="17" t="s">
        <v>140</v>
      </c>
      <c r="D126" s="17" t="s">
        <v>142</v>
      </c>
      <c r="E126" s="17" t="s">
        <v>142</v>
      </c>
      <c r="F126" s="17" t="s">
        <v>152</v>
      </c>
      <c r="G126" s="17" t="s">
        <v>160</v>
      </c>
      <c r="H126" s="17" t="s">
        <v>172</v>
      </c>
    </row>
    <row r="127" customFormat="false" ht="15" hidden="false" customHeight="false" outlineLevel="0" collapsed="false">
      <c r="A127" s="18" t="n">
        <v>46435</v>
      </c>
      <c r="B127" s="17" t="s">
        <v>209</v>
      </c>
      <c r="C127" s="17" t="s">
        <v>140</v>
      </c>
      <c r="D127" s="17" t="s">
        <v>142</v>
      </c>
      <c r="E127" s="17" t="s">
        <v>142</v>
      </c>
      <c r="F127" s="17" t="s">
        <v>152</v>
      </c>
      <c r="G127" s="17" t="s">
        <v>160</v>
      </c>
      <c r="H127" s="17" t="s">
        <v>173</v>
      </c>
    </row>
    <row r="128" customFormat="false" ht="15" hidden="false" customHeight="false" outlineLevel="0" collapsed="false">
      <c r="A128" s="18" t="n">
        <v>46436</v>
      </c>
      <c r="B128" s="17" t="s">
        <v>203</v>
      </c>
      <c r="C128" s="17" t="s">
        <v>140</v>
      </c>
      <c r="D128" s="17" t="s">
        <v>142</v>
      </c>
      <c r="E128" s="17" t="s">
        <v>142</v>
      </c>
      <c r="F128" s="17" t="s">
        <v>152</v>
      </c>
      <c r="G128" s="17" t="s">
        <v>160</v>
      </c>
      <c r="H128" s="17" t="s">
        <v>174</v>
      </c>
    </row>
    <row r="129" customFormat="false" ht="15" hidden="false" customHeight="false" outlineLevel="0" collapsed="false">
      <c r="A129" s="18" t="n">
        <v>46437</v>
      </c>
      <c r="B129" s="17" t="s">
        <v>204</v>
      </c>
      <c r="C129" s="17" t="s">
        <v>140</v>
      </c>
      <c r="D129" s="17" t="s">
        <v>142</v>
      </c>
      <c r="E129" s="17" t="s">
        <v>142</v>
      </c>
      <c r="F129" s="17" t="s">
        <v>152</v>
      </c>
      <c r="G129" s="17" t="s">
        <v>160</v>
      </c>
      <c r="H129" s="17" t="s">
        <v>175</v>
      </c>
    </row>
    <row r="130" customFormat="false" ht="15" hidden="false" customHeight="false" outlineLevel="0" collapsed="false">
      <c r="A130" s="18" t="n">
        <v>46438</v>
      </c>
      <c r="B130" s="17" t="s">
        <v>205</v>
      </c>
      <c r="C130" s="17" t="s">
        <v>140</v>
      </c>
      <c r="D130" s="17" t="s">
        <v>142</v>
      </c>
      <c r="E130" s="17" t="s">
        <v>142</v>
      </c>
      <c r="F130" s="17" t="s">
        <v>152</v>
      </c>
      <c r="G130" s="17" t="s">
        <v>160</v>
      </c>
      <c r="H130" s="17" t="s">
        <v>176</v>
      </c>
    </row>
    <row r="131" customFormat="false" ht="15" hidden="false" customHeight="false" outlineLevel="0" collapsed="false">
      <c r="A131" s="18" t="n">
        <v>46439</v>
      </c>
      <c r="B131" s="17" t="s">
        <v>206</v>
      </c>
      <c r="C131" s="17" t="s">
        <v>140</v>
      </c>
      <c r="D131" s="17" t="s">
        <v>142</v>
      </c>
      <c r="E131" s="17" t="s">
        <v>142</v>
      </c>
      <c r="F131" s="17" t="s">
        <v>152</v>
      </c>
      <c r="G131" s="17" t="s">
        <v>160</v>
      </c>
      <c r="H131" s="17" t="s">
        <v>177</v>
      </c>
    </row>
    <row r="132" customFormat="false" ht="15" hidden="false" customHeight="false" outlineLevel="0" collapsed="false">
      <c r="A132" s="18" t="n">
        <v>46440</v>
      </c>
      <c r="B132" s="17" t="s">
        <v>207</v>
      </c>
      <c r="C132" s="17" t="s">
        <v>140</v>
      </c>
      <c r="D132" s="17" t="s">
        <v>142</v>
      </c>
      <c r="E132" s="17" t="s">
        <v>142</v>
      </c>
      <c r="F132" s="17" t="s">
        <v>152</v>
      </c>
      <c r="G132" s="17" t="s">
        <v>160</v>
      </c>
      <c r="H132" s="17" t="s">
        <v>178</v>
      </c>
    </row>
    <row r="133" customFormat="false" ht="15" hidden="false" customHeight="false" outlineLevel="0" collapsed="false">
      <c r="A133" s="18" t="n">
        <v>46441</v>
      </c>
      <c r="B133" s="17" t="s">
        <v>208</v>
      </c>
      <c r="C133" s="17" t="s">
        <v>140</v>
      </c>
      <c r="D133" s="17" t="s">
        <v>142</v>
      </c>
      <c r="E133" s="17" t="s">
        <v>142</v>
      </c>
      <c r="F133" s="17" t="s">
        <v>152</v>
      </c>
      <c r="G133" s="17" t="s">
        <v>160</v>
      </c>
      <c r="H133" s="17" t="s">
        <v>179</v>
      </c>
    </row>
    <row r="134" customFormat="false" ht="15" hidden="false" customHeight="false" outlineLevel="0" collapsed="false">
      <c r="A134" s="18" t="n">
        <v>46442</v>
      </c>
      <c r="B134" s="17" t="s">
        <v>209</v>
      </c>
      <c r="C134" s="17" t="s">
        <v>140</v>
      </c>
      <c r="D134" s="17" t="s">
        <v>142</v>
      </c>
      <c r="E134" s="17" t="s">
        <v>142</v>
      </c>
      <c r="F134" s="17" t="s">
        <v>152</v>
      </c>
      <c r="G134" s="17" t="s">
        <v>160</v>
      </c>
      <c r="H134" s="17" t="s">
        <v>180</v>
      </c>
    </row>
    <row r="135" customFormat="false" ht="15" hidden="false" customHeight="false" outlineLevel="0" collapsed="false">
      <c r="A135" s="18" t="n">
        <v>46443</v>
      </c>
      <c r="B135" s="17" t="s">
        <v>203</v>
      </c>
      <c r="C135" s="17" t="s">
        <v>140</v>
      </c>
      <c r="D135" s="17" t="s">
        <v>142</v>
      </c>
      <c r="E135" s="17" t="s">
        <v>142</v>
      </c>
      <c r="F135" s="17" t="s">
        <v>152</v>
      </c>
      <c r="G135" s="17" t="s">
        <v>160</v>
      </c>
      <c r="H135" s="17" t="s">
        <v>182</v>
      </c>
    </row>
    <row r="136" customFormat="false" ht="15" hidden="false" customHeight="false" outlineLevel="0" collapsed="false">
      <c r="A136" s="18" t="n">
        <v>46444</v>
      </c>
      <c r="B136" s="17" t="s">
        <v>204</v>
      </c>
      <c r="C136" s="17" t="s">
        <v>140</v>
      </c>
      <c r="D136" s="17" t="s">
        <v>142</v>
      </c>
      <c r="E136" s="17" t="s">
        <v>142</v>
      </c>
      <c r="F136" s="17" t="s">
        <v>152</v>
      </c>
      <c r="G136" s="17" t="s">
        <v>160</v>
      </c>
      <c r="H136" s="17" t="s">
        <v>183</v>
      </c>
    </row>
    <row r="137" customFormat="false" ht="15" hidden="false" customHeight="false" outlineLevel="0" collapsed="false">
      <c r="A137" s="18" t="n">
        <v>46445</v>
      </c>
      <c r="B137" s="17" t="s">
        <v>205</v>
      </c>
      <c r="C137" s="17" t="s">
        <v>140</v>
      </c>
      <c r="D137" s="17" t="s">
        <v>142</v>
      </c>
      <c r="E137" s="17" t="s">
        <v>142</v>
      </c>
      <c r="F137" s="17" t="s">
        <v>152</v>
      </c>
      <c r="G137" s="17" t="s">
        <v>160</v>
      </c>
      <c r="H137" s="17" t="s">
        <v>184</v>
      </c>
    </row>
    <row r="138" customFormat="false" ht="15" hidden="false" customHeight="false" outlineLevel="0" collapsed="false">
      <c r="A138" s="18" t="n">
        <v>46446</v>
      </c>
      <c r="B138" s="17" t="s">
        <v>206</v>
      </c>
      <c r="C138" s="17" t="s">
        <v>140</v>
      </c>
      <c r="D138" s="17" t="s">
        <v>142</v>
      </c>
      <c r="E138" s="17" t="s">
        <v>142</v>
      </c>
      <c r="F138" s="17" t="s">
        <v>152</v>
      </c>
      <c r="G138" s="17" t="s">
        <v>160</v>
      </c>
      <c r="H138" s="17" t="s">
        <v>185</v>
      </c>
    </row>
    <row r="139" customFormat="false" ht="15" hidden="false" customHeight="false" outlineLevel="0" collapsed="false">
      <c r="A139" s="18" t="n">
        <v>46447</v>
      </c>
      <c r="B139" s="17" t="s">
        <v>207</v>
      </c>
      <c r="C139" s="17" t="s">
        <v>140</v>
      </c>
      <c r="D139" s="17" t="s">
        <v>142</v>
      </c>
      <c r="E139" s="17" t="s">
        <v>142</v>
      </c>
      <c r="F139" s="17" t="s">
        <v>152</v>
      </c>
      <c r="G139" s="17" t="s">
        <v>160</v>
      </c>
      <c r="H139" s="17" t="s">
        <v>186</v>
      </c>
    </row>
    <row r="140" customFormat="false" ht="15" hidden="false" customHeight="false" outlineLevel="0" collapsed="false">
      <c r="A140" s="18" t="n">
        <v>46448</v>
      </c>
      <c r="B140" s="17" t="s">
        <v>208</v>
      </c>
      <c r="C140" s="17" t="s">
        <v>140</v>
      </c>
      <c r="D140" s="17" t="s">
        <v>142</v>
      </c>
      <c r="E140" s="17" t="s">
        <v>142</v>
      </c>
      <c r="F140" s="17" t="s">
        <v>152</v>
      </c>
      <c r="G140" s="17" t="s">
        <v>160</v>
      </c>
      <c r="H140" s="17" t="s">
        <v>187</v>
      </c>
    </row>
    <row r="141" customFormat="false" ht="15" hidden="false" customHeight="false" outlineLevel="0" collapsed="false">
      <c r="A141" s="18" t="n">
        <v>46449</v>
      </c>
      <c r="B141" s="17" t="s">
        <v>209</v>
      </c>
      <c r="C141" s="17" t="s">
        <v>140</v>
      </c>
      <c r="D141" s="17" t="s">
        <v>142</v>
      </c>
      <c r="E141" s="17" t="s">
        <v>142</v>
      </c>
      <c r="F141" s="17" t="s">
        <v>152</v>
      </c>
      <c r="G141" s="17" t="s">
        <v>160</v>
      </c>
      <c r="H141" s="17" t="s">
        <v>188</v>
      </c>
    </row>
    <row r="142" customFormat="false" ht="15" hidden="false" customHeight="false" outlineLevel="0" collapsed="false">
      <c r="A142" s="18" t="n">
        <v>46450</v>
      </c>
      <c r="B142" s="17" t="s">
        <v>203</v>
      </c>
      <c r="C142" s="17" t="s">
        <v>140</v>
      </c>
      <c r="D142" s="17" t="s">
        <v>142</v>
      </c>
      <c r="E142" s="17" t="s">
        <v>142</v>
      </c>
      <c r="F142" s="17" t="s">
        <v>152</v>
      </c>
      <c r="G142" s="17" t="s">
        <v>160</v>
      </c>
      <c r="H142" s="17" t="s">
        <v>189</v>
      </c>
    </row>
    <row r="143" customFormat="false" ht="15" hidden="false" customHeight="false" outlineLevel="0" collapsed="false">
      <c r="A143" s="18" t="n">
        <v>46451</v>
      </c>
      <c r="B143" s="17" t="s">
        <v>204</v>
      </c>
      <c r="C143" s="17" t="s">
        <v>140</v>
      </c>
      <c r="D143" s="17" t="s">
        <v>142</v>
      </c>
      <c r="E143" s="17" t="s">
        <v>142</v>
      </c>
      <c r="F143" s="17" t="s">
        <v>152</v>
      </c>
      <c r="G143" s="17" t="s">
        <v>160</v>
      </c>
      <c r="H143" s="17" t="s">
        <v>190</v>
      </c>
    </row>
    <row r="144" customFormat="false" ht="15" hidden="false" customHeight="false" outlineLevel="0" collapsed="false">
      <c r="A144" s="18" t="n">
        <v>46452</v>
      </c>
      <c r="B144" s="17" t="s">
        <v>205</v>
      </c>
      <c r="C144" s="17" t="s">
        <v>140</v>
      </c>
      <c r="D144" s="17" t="s">
        <v>142</v>
      </c>
      <c r="E144" s="17" t="s">
        <v>142</v>
      </c>
      <c r="F144" s="17" t="s">
        <v>152</v>
      </c>
      <c r="G144" s="17" t="s">
        <v>160</v>
      </c>
      <c r="H144" s="17" t="s">
        <v>191</v>
      </c>
    </row>
    <row r="145" customFormat="false" ht="15" hidden="false" customHeight="false" outlineLevel="0" collapsed="false">
      <c r="A145" s="18" t="n">
        <v>46453</v>
      </c>
      <c r="B145" s="17" t="s">
        <v>206</v>
      </c>
      <c r="C145" s="17" t="s">
        <v>140</v>
      </c>
      <c r="D145" s="17" t="s">
        <v>142</v>
      </c>
      <c r="E145" s="17" t="s">
        <v>142</v>
      </c>
      <c r="F145" s="17" t="s">
        <v>152</v>
      </c>
      <c r="G145" s="17" t="s">
        <v>160</v>
      </c>
      <c r="H145" s="17" t="s">
        <v>193</v>
      </c>
    </row>
    <row r="146" customFormat="false" ht="15" hidden="false" customHeight="false" outlineLevel="0" collapsed="false">
      <c r="A146" s="18" t="n">
        <v>46454</v>
      </c>
      <c r="B146" s="17" t="s">
        <v>207</v>
      </c>
      <c r="C146" s="17" t="s">
        <v>140</v>
      </c>
      <c r="D146" s="17" t="s">
        <v>142</v>
      </c>
      <c r="E146" s="17" t="s">
        <v>142</v>
      </c>
      <c r="F146" s="17" t="s">
        <v>155</v>
      </c>
      <c r="G146" s="17" t="s">
        <v>160</v>
      </c>
      <c r="H146" s="17" t="s">
        <v>170</v>
      </c>
    </row>
    <row r="147" customFormat="false" ht="15" hidden="false" customHeight="false" outlineLevel="0" collapsed="false">
      <c r="A147" s="18" t="n">
        <v>46455</v>
      </c>
      <c r="B147" s="17" t="s">
        <v>208</v>
      </c>
      <c r="C147" s="17" t="s">
        <v>140</v>
      </c>
      <c r="D147" s="17" t="s">
        <v>142</v>
      </c>
      <c r="E147" s="17" t="s">
        <v>142</v>
      </c>
      <c r="F147" s="17" t="s">
        <v>155</v>
      </c>
      <c r="G147" s="17" t="s">
        <v>160</v>
      </c>
      <c r="H147" s="17" t="s">
        <v>181</v>
      </c>
    </row>
    <row r="148" customFormat="false" ht="15" hidden="false" customHeight="false" outlineLevel="0" collapsed="false">
      <c r="A148" s="18" t="n">
        <v>46456</v>
      </c>
      <c r="B148" s="17" t="s">
        <v>209</v>
      </c>
      <c r="C148" s="17" t="s">
        <v>140</v>
      </c>
      <c r="D148" s="17" t="s">
        <v>142</v>
      </c>
      <c r="E148" s="17" t="s">
        <v>142</v>
      </c>
      <c r="F148" s="17" t="s">
        <v>155</v>
      </c>
      <c r="G148" s="17" t="s">
        <v>160</v>
      </c>
      <c r="H148" s="17" t="s">
        <v>192</v>
      </c>
    </row>
    <row r="149" customFormat="false" ht="15" hidden="false" customHeight="false" outlineLevel="0" collapsed="false">
      <c r="A149" s="18" t="n">
        <v>46457</v>
      </c>
      <c r="B149" s="17" t="s">
        <v>203</v>
      </c>
      <c r="C149" s="17" t="s">
        <v>140</v>
      </c>
      <c r="D149" s="17" t="s">
        <v>142</v>
      </c>
      <c r="E149" s="17" t="s">
        <v>142</v>
      </c>
      <c r="F149" s="17" t="s">
        <v>155</v>
      </c>
      <c r="G149" s="17" t="s">
        <v>160</v>
      </c>
      <c r="H149" s="17" t="s">
        <v>194</v>
      </c>
    </row>
    <row r="150" customFormat="false" ht="15" hidden="false" customHeight="false" outlineLevel="0" collapsed="false">
      <c r="A150" s="18" t="n">
        <v>46458</v>
      </c>
      <c r="B150" s="17" t="s">
        <v>204</v>
      </c>
      <c r="C150" s="17" t="s">
        <v>140</v>
      </c>
      <c r="D150" s="17" t="s">
        <v>142</v>
      </c>
      <c r="E150" s="17" t="s">
        <v>142</v>
      </c>
      <c r="F150" s="17" t="s">
        <v>155</v>
      </c>
      <c r="G150" s="17" t="s">
        <v>160</v>
      </c>
      <c r="H150" s="17" t="s">
        <v>195</v>
      </c>
    </row>
    <row r="151" customFormat="false" ht="15" hidden="false" customHeight="false" outlineLevel="0" collapsed="false">
      <c r="A151" s="18" t="n">
        <v>46459</v>
      </c>
      <c r="B151" s="17" t="s">
        <v>205</v>
      </c>
      <c r="C151" s="17" t="s">
        <v>140</v>
      </c>
      <c r="D151" s="17" t="s">
        <v>142</v>
      </c>
      <c r="E151" s="17" t="s">
        <v>142</v>
      </c>
      <c r="F151" s="17" t="s">
        <v>155</v>
      </c>
      <c r="G151" s="17" t="s">
        <v>160</v>
      </c>
      <c r="H151" s="17" t="s">
        <v>196</v>
      </c>
    </row>
    <row r="152" customFormat="false" ht="15" hidden="false" customHeight="false" outlineLevel="0" collapsed="false">
      <c r="A152" s="18" t="n">
        <v>46460</v>
      </c>
      <c r="B152" s="17" t="s">
        <v>206</v>
      </c>
      <c r="C152" s="17" t="s">
        <v>140</v>
      </c>
      <c r="D152" s="17" t="s">
        <v>142</v>
      </c>
      <c r="E152" s="17" t="s">
        <v>142</v>
      </c>
      <c r="F152" s="17" t="s">
        <v>155</v>
      </c>
      <c r="G152" s="17" t="s">
        <v>160</v>
      </c>
      <c r="H152" s="17" t="s">
        <v>197</v>
      </c>
    </row>
    <row r="153" customFormat="false" ht="15" hidden="false" customHeight="false" outlineLevel="0" collapsed="false">
      <c r="A153" s="18" t="n">
        <v>46461</v>
      </c>
      <c r="B153" s="17" t="s">
        <v>207</v>
      </c>
      <c r="C153" s="17" t="s">
        <v>140</v>
      </c>
      <c r="D153" s="17" t="s">
        <v>142</v>
      </c>
      <c r="E153" s="17" t="s">
        <v>142</v>
      </c>
      <c r="F153" s="17" t="s">
        <v>155</v>
      </c>
      <c r="G153" s="17" t="s">
        <v>160</v>
      </c>
      <c r="H153" s="17" t="s">
        <v>198</v>
      </c>
    </row>
    <row r="154" customFormat="false" ht="15" hidden="false" customHeight="false" outlineLevel="0" collapsed="false">
      <c r="A154" s="18" t="n">
        <v>46462</v>
      </c>
      <c r="B154" s="17" t="s">
        <v>208</v>
      </c>
      <c r="C154" s="17" t="s">
        <v>140</v>
      </c>
      <c r="D154" s="17" t="s">
        <v>142</v>
      </c>
      <c r="E154" s="17" t="s">
        <v>142</v>
      </c>
      <c r="F154" s="17" t="s">
        <v>155</v>
      </c>
      <c r="G154" s="17" t="s">
        <v>160</v>
      </c>
      <c r="H154" s="17" t="s">
        <v>199</v>
      </c>
    </row>
    <row r="155" customFormat="false" ht="15" hidden="false" customHeight="false" outlineLevel="0" collapsed="false">
      <c r="A155" s="18" t="n">
        <v>46463</v>
      </c>
      <c r="B155" s="17" t="s">
        <v>209</v>
      </c>
      <c r="C155" s="17" t="s">
        <v>140</v>
      </c>
      <c r="D155" s="17" t="s">
        <v>142</v>
      </c>
      <c r="E155" s="17" t="s">
        <v>142</v>
      </c>
      <c r="F155" s="17" t="s">
        <v>155</v>
      </c>
      <c r="G155" s="17" t="s">
        <v>160</v>
      </c>
      <c r="H155" s="17" t="s">
        <v>171</v>
      </c>
    </row>
    <row r="156" customFormat="false" ht="15" hidden="false" customHeight="false" outlineLevel="0" collapsed="false">
      <c r="A156" s="18" t="n">
        <v>46464</v>
      </c>
      <c r="B156" s="17" t="s">
        <v>203</v>
      </c>
      <c r="C156" s="17" t="s">
        <v>140</v>
      </c>
      <c r="D156" s="17" t="s">
        <v>142</v>
      </c>
      <c r="E156" s="17" t="s">
        <v>142</v>
      </c>
      <c r="F156" s="17" t="s">
        <v>155</v>
      </c>
      <c r="G156" s="17" t="s">
        <v>160</v>
      </c>
      <c r="H156" s="17" t="s">
        <v>172</v>
      </c>
    </row>
    <row r="157" customFormat="false" ht="15" hidden="false" customHeight="false" outlineLevel="0" collapsed="false">
      <c r="A157" s="18" t="n">
        <v>46465</v>
      </c>
      <c r="B157" s="17" t="s">
        <v>204</v>
      </c>
      <c r="C157" s="17" t="s">
        <v>140</v>
      </c>
      <c r="D157" s="17" t="s">
        <v>142</v>
      </c>
      <c r="E157" s="17" t="s">
        <v>142</v>
      </c>
      <c r="F157" s="17" t="s">
        <v>155</v>
      </c>
      <c r="G157" s="17" t="s">
        <v>160</v>
      </c>
      <c r="H157" s="17" t="s">
        <v>173</v>
      </c>
    </row>
    <row r="158" customFormat="false" ht="15" hidden="false" customHeight="false" outlineLevel="0" collapsed="false">
      <c r="A158" s="18" t="n">
        <v>46466</v>
      </c>
      <c r="B158" s="17" t="s">
        <v>205</v>
      </c>
      <c r="C158" s="17" t="s">
        <v>140</v>
      </c>
      <c r="D158" s="17" t="s">
        <v>142</v>
      </c>
      <c r="E158" s="17" t="s">
        <v>142</v>
      </c>
      <c r="F158" s="17" t="s">
        <v>155</v>
      </c>
      <c r="G158" s="17" t="s">
        <v>160</v>
      </c>
      <c r="H158" s="17" t="s">
        <v>174</v>
      </c>
    </row>
    <row r="159" customFormat="false" ht="15" hidden="false" customHeight="false" outlineLevel="0" collapsed="false">
      <c r="A159" s="18" t="n">
        <v>46467</v>
      </c>
      <c r="B159" s="17" t="s">
        <v>206</v>
      </c>
      <c r="C159" s="17" t="s">
        <v>140</v>
      </c>
      <c r="D159" s="17" t="s">
        <v>142</v>
      </c>
      <c r="E159" s="17" t="s">
        <v>142</v>
      </c>
      <c r="F159" s="17" t="s">
        <v>155</v>
      </c>
      <c r="G159" s="17" t="s">
        <v>160</v>
      </c>
      <c r="H159" s="17" t="s">
        <v>175</v>
      </c>
    </row>
    <row r="160" customFormat="false" ht="15" hidden="false" customHeight="false" outlineLevel="0" collapsed="false">
      <c r="A160" s="18" t="n">
        <v>46468</v>
      </c>
      <c r="B160" s="17" t="s">
        <v>207</v>
      </c>
      <c r="C160" s="17" t="s">
        <v>140</v>
      </c>
      <c r="D160" s="17" t="s">
        <v>142</v>
      </c>
      <c r="E160" s="17" t="s">
        <v>142</v>
      </c>
      <c r="F160" s="17" t="s">
        <v>155</v>
      </c>
      <c r="G160" s="17" t="s">
        <v>160</v>
      </c>
      <c r="H160" s="17" t="s">
        <v>176</v>
      </c>
    </row>
    <row r="161" customFormat="false" ht="15" hidden="false" customHeight="false" outlineLevel="0" collapsed="false">
      <c r="A161" s="18" t="n">
        <v>46469</v>
      </c>
      <c r="B161" s="17" t="s">
        <v>208</v>
      </c>
      <c r="C161" s="17" t="s">
        <v>140</v>
      </c>
      <c r="D161" s="17" t="s">
        <v>142</v>
      </c>
      <c r="E161" s="17" t="s">
        <v>142</v>
      </c>
      <c r="F161" s="17" t="s">
        <v>155</v>
      </c>
      <c r="G161" s="17" t="s">
        <v>160</v>
      </c>
      <c r="H161" s="17" t="s">
        <v>177</v>
      </c>
    </row>
    <row r="162" customFormat="false" ht="15" hidden="false" customHeight="false" outlineLevel="0" collapsed="false">
      <c r="A162" s="18" t="n">
        <v>46470</v>
      </c>
      <c r="B162" s="17" t="s">
        <v>209</v>
      </c>
      <c r="C162" s="17" t="s">
        <v>140</v>
      </c>
      <c r="D162" s="17" t="s">
        <v>142</v>
      </c>
      <c r="E162" s="17" t="s">
        <v>142</v>
      </c>
      <c r="F162" s="17" t="s">
        <v>155</v>
      </c>
      <c r="G162" s="17" t="s">
        <v>160</v>
      </c>
      <c r="H162" s="17" t="s">
        <v>178</v>
      </c>
    </row>
    <row r="163" customFormat="false" ht="15" hidden="false" customHeight="false" outlineLevel="0" collapsed="false">
      <c r="A163" s="18" t="n">
        <v>46471</v>
      </c>
      <c r="B163" s="17" t="s">
        <v>203</v>
      </c>
      <c r="C163" s="17" t="s">
        <v>140</v>
      </c>
      <c r="D163" s="17" t="s">
        <v>142</v>
      </c>
      <c r="E163" s="17" t="s">
        <v>142</v>
      </c>
      <c r="F163" s="17" t="s">
        <v>155</v>
      </c>
      <c r="G163" s="17" t="s">
        <v>160</v>
      </c>
      <c r="H163" s="17" t="s">
        <v>179</v>
      </c>
    </row>
    <row r="164" customFormat="false" ht="15" hidden="false" customHeight="false" outlineLevel="0" collapsed="false">
      <c r="A164" s="18" t="n">
        <v>46472</v>
      </c>
      <c r="B164" s="17" t="s">
        <v>204</v>
      </c>
      <c r="C164" s="17" t="s">
        <v>140</v>
      </c>
      <c r="D164" s="17" t="s">
        <v>142</v>
      </c>
      <c r="E164" s="17" t="s">
        <v>142</v>
      </c>
      <c r="F164" s="17" t="s">
        <v>155</v>
      </c>
      <c r="G164" s="17" t="s">
        <v>160</v>
      </c>
      <c r="H164" s="17" t="s">
        <v>180</v>
      </c>
    </row>
    <row r="165" customFormat="false" ht="15" hidden="false" customHeight="false" outlineLevel="0" collapsed="false">
      <c r="A165" s="18" t="n">
        <v>46473</v>
      </c>
      <c r="B165" s="17" t="s">
        <v>205</v>
      </c>
      <c r="C165" s="17" t="s">
        <v>140</v>
      </c>
      <c r="D165" s="17" t="s">
        <v>142</v>
      </c>
      <c r="E165" s="17" t="s">
        <v>142</v>
      </c>
      <c r="F165" s="17" t="s">
        <v>155</v>
      </c>
      <c r="G165" s="17" t="s">
        <v>160</v>
      </c>
      <c r="H165" s="17" t="s">
        <v>182</v>
      </c>
    </row>
    <row r="166" customFormat="false" ht="15" hidden="false" customHeight="false" outlineLevel="0" collapsed="false">
      <c r="A166" s="18" t="n">
        <v>46474</v>
      </c>
      <c r="B166" s="17" t="s">
        <v>206</v>
      </c>
      <c r="C166" s="17" t="s">
        <v>140</v>
      </c>
      <c r="D166" s="17" t="s">
        <v>142</v>
      </c>
      <c r="E166" s="17" t="s">
        <v>142</v>
      </c>
      <c r="F166" s="17" t="s">
        <v>155</v>
      </c>
      <c r="G166" s="17" t="s">
        <v>160</v>
      </c>
      <c r="H166" s="17" t="s">
        <v>183</v>
      </c>
    </row>
    <row r="167" customFormat="false" ht="15" hidden="false" customHeight="false" outlineLevel="0" collapsed="false">
      <c r="A167" s="18" t="n">
        <v>46475</v>
      </c>
      <c r="B167" s="17" t="s">
        <v>207</v>
      </c>
      <c r="C167" s="17" t="s">
        <v>140</v>
      </c>
      <c r="D167" s="17" t="s">
        <v>142</v>
      </c>
      <c r="E167" s="17" t="s">
        <v>142</v>
      </c>
      <c r="F167" s="17" t="s">
        <v>155</v>
      </c>
      <c r="G167" s="17" t="s">
        <v>160</v>
      </c>
      <c r="H167" s="17" t="s">
        <v>184</v>
      </c>
    </row>
    <row r="168" customFormat="false" ht="15" hidden="false" customHeight="false" outlineLevel="0" collapsed="false">
      <c r="A168" s="18" t="n">
        <v>46476</v>
      </c>
      <c r="B168" s="17" t="s">
        <v>208</v>
      </c>
      <c r="C168" s="17" t="s">
        <v>140</v>
      </c>
      <c r="D168" s="17" t="s">
        <v>142</v>
      </c>
      <c r="E168" s="17" t="s">
        <v>142</v>
      </c>
      <c r="F168" s="17" t="s">
        <v>155</v>
      </c>
      <c r="G168" s="17" t="s">
        <v>160</v>
      </c>
      <c r="H168" s="17" t="s">
        <v>185</v>
      </c>
    </row>
    <row r="169" customFormat="false" ht="15" hidden="false" customHeight="false" outlineLevel="0" collapsed="false">
      <c r="A169" s="18" t="n">
        <v>46477</v>
      </c>
      <c r="B169" s="17" t="s">
        <v>209</v>
      </c>
      <c r="C169" s="17" t="s">
        <v>140</v>
      </c>
      <c r="D169" s="17" t="s">
        <v>142</v>
      </c>
      <c r="E169" s="17" t="s">
        <v>142</v>
      </c>
      <c r="F169" s="17" t="s">
        <v>155</v>
      </c>
      <c r="G169" s="17" t="s">
        <v>160</v>
      </c>
      <c r="H169" s="17" t="s">
        <v>186</v>
      </c>
    </row>
    <row r="170" customFormat="false" ht="15" hidden="false" customHeight="false" outlineLevel="0" collapsed="false">
      <c r="A170" s="18" t="n">
        <v>46478</v>
      </c>
      <c r="B170" s="17" t="s">
        <v>203</v>
      </c>
      <c r="C170" s="17" t="s">
        <v>140</v>
      </c>
      <c r="D170" s="17" t="s">
        <v>142</v>
      </c>
      <c r="E170" s="17" t="s">
        <v>142</v>
      </c>
      <c r="F170" s="17" t="s">
        <v>155</v>
      </c>
      <c r="G170" s="17" t="s">
        <v>160</v>
      </c>
      <c r="H170" s="17" t="s">
        <v>187</v>
      </c>
    </row>
    <row r="171" customFormat="false" ht="15" hidden="false" customHeight="false" outlineLevel="0" collapsed="false">
      <c r="A171" s="18" t="n">
        <v>46479</v>
      </c>
      <c r="B171" s="17" t="s">
        <v>204</v>
      </c>
      <c r="C171" s="17" t="s">
        <v>140</v>
      </c>
      <c r="D171" s="17" t="s">
        <v>142</v>
      </c>
      <c r="E171" s="17" t="s">
        <v>142</v>
      </c>
      <c r="F171" s="17" t="s">
        <v>155</v>
      </c>
      <c r="G171" s="17" t="s">
        <v>160</v>
      </c>
      <c r="H171" s="17" t="s">
        <v>188</v>
      </c>
    </row>
    <row r="172" customFormat="false" ht="15" hidden="false" customHeight="false" outlineLevel="0" collapsed="false">
      <c r="A172" s="18" t="n">
        <v>46480</v>
      </c>
      <c r="B172" s="17" t="s">
        <v>205</v>
      </c>
      <c r="C172" s="17" t="s">
        <v>140</v>
      </c>
      <c r="D172" s="17" t="s">
        <v>142</v>
      </c>
      <c r="E172" s="17" t="s">
        <v>142</v>
      </c>
      <c r="F172" s="17" t="s">
        <v>155</v>
      </c>
      <c r="G172" s="17" t="s">
        <v>160</v>
      </c>
      <c r="H172" s="17" t="s">
        <v>189</v>
      </c>
    </row>
    <row r="173" customFormat="false" ht="15" hidden="false" customHeight="false" outlineLevel="0" collapsed="false">
      <c r="A173" s="18" t="n">
        <v>46481</v>
      </c>
      <c r="B173" s="17" t="s">
        <v>206</v>
      </c>
      <c r="C173" s="17" t="s">
        <v>140</v>
      </c>
      <c r="D173" s="17" t="s">
        <v>142</v>
      </c>
      <c r="E173" s="17" t="s">
        <v>142</v>
      </c>
      <c r="F173" s="17" t="s">
        <v>155</v>
      </c>
      <c r="G173" s="17" t="s">
        <v>160</v>
      </c>
      <c r="H173" s="17" t="s">
        <v>190</v>
      </c>
    </row>
    <row r="174" customFormat="false" ht="15" hidden="false" customHeight="false" outlineLevel="0" collapsed="false">
      <c r="A174" s="18" t="n">
        <v>46482</v>
      </c>
      <c r="B174" s="17" t="s">
        <v>207</v>
      </c>
      <c r="C174" s="17" t="s">
        <v>140</v>
      </c>
      <c r="D174" s="17" t="s">
        <v>142</v>
      </c>
      <c r="E174" s="17" t="s">
        <v>142</v>
      </c>
      <c r="F174" s="17" t="s">
        <v>155</v>
      </c>
      <c r="G174" s="17" t="s">
        <v>160</v>
      </c>
      <c r="H174" s="17" t="s">
        <v>191</v>
      </c>
    </row>
    <row r="175" customFormat="false" ht="15" hidden="false" customHeight="false" outlineLevel="0" collapsed="false">
      <c r="A175" s="18" t="n">
        <v>46483</v>
      </c>
      <c r="B175" s="17" t="s">
        <v>208</v>
      </c>
      <c r="C175" s="17" t="s">
        <v>140</v>
      </c>
      <c r="D175" s="17" t="s">
        <v>142</v>
      </c>
      <c r="E175" s="17" t="s">
        <v>142</v>
      </c>
      <c r="F175" s="17" t="s">
        <v>155</v>
      </c>
      <c r="G175" s="17" t="s">
        <v>160</v>
      </c>
      <c r="H175" s="17" t="s">
        <v>193</v>
      </c>
    </row>
    <row r="176" customFormat="false" ht="15" hidden="false" customHeight="false" outlineLevel="0" collapsed="false">
      <c r="A176" s="18" t="n">
        <v>46484</v>
      </c>
      <c r="B176" s="17" t="s">
        <v>209</v>
      </c>
      <c r="C176" s="17" t="s">
        <v>140</v>
      </c>
      <c r="D176" s="17" t="s">
        <v>142</v>
      </c>
      <c r="E176" s="17" t="s">
        <v>142</v>
      </c>
      <c r="F176" s="17" t="s">
        <v>149</v>
      </c>
      <c r="G176" s="17" t="s">
        <v>160</v>
      </c>
      <c r="H176" s="17" t="s">
        <v>170</v>
      </c>
    </row>
    <row r="177" customFormat="false" ht="15" hidden="false" customHeight="false" outlineLevel="0" collapsed="false">
      <c r="A177" s="18" t="n">
        <v>46485</v>
      </c>
      <c r="B177" s="17" t="s">
        <v>203</v>
      </c>
      <c r="C177" s="17" t="s">
        <v>140</v>
      </c>
      <c r="D177" s="17" t="s">
        <v>142</v>
      </c>
      <c r="E177" s="17" t="s">
        <v>142</v>
      </c>
      <c r="F177" s="17" t="s">
        <v>149</v>
      </c>
      <c r="G177" s="17" t="s">
        <v>160</v>
      </c>
      <c r="H177" s="17" t="s">
        <v>181</v>
      </c>
    </row>
    <row r="178" customFormat="false" ht="15" hidden="false" customHeight="false" outlineLevel="0" collapsed="false">
      <c r="A178" s="18" t="n">
        <v>46486</v>
      </c>
      <c r="B178" s="17" t="s">
        <v>204</v>
      </c>
      <c r="C178" s="17" t="s">
        <v>140</v>
      </c>
      <c r="D178" s="17" t="s">
        <v>142</v>
      </c>
      <c r="E178" s="17" t="s">
        <v>142</v>
      </c>
      <c r="F178" s="17" t="s">
        <v>149</v>
      </c>
      <c r="G178" s="17" t="s">
        <v>160</v>
      </c>
      <c r="H178" s="17" t="s">
        <v>192</v>
      </c>
    </row>
    <row r="179" customFormat="false" ht="15" hidden="false" customHeight="false" outlineLevel="0" collapsed="false">
      <c r="A179" s="18" t="n">
        <v>46487</v>
      </c>
      <c r="B179" s="17" t="s">
        <v>205</v>
      </c>
      <c r="C179" s="17" t="s">
        <v>140</v>
      </c>
      <c r="D179" s="17" t="s">
        <v>142</v>
      </c>
      <c r="E179" s="17" t="s">
        <v>142</v>
      </c>
      <c r="F179" s="17" t="s">
        <v>149</v>
      </c>
      <c r="G179" s="17" t="s">
        <v>160</v>
      </c>
      <c r="H179" s="17" t="s">
        <v>194</v>
      </c>
    </row>
    <row r="180" customFormat="false" ht="15" hidden="false" customHeight="false" outlineLevel="0" collapsed="false">
      <c r="A180" s="18" t="n">
        <v>46488</v>
      </c>
      <c r="B180" s="17" t="s">
        <v>206</v>
      </c>
      <c r="C180" s="17" t="s">
        <v>140</v>
      </c>
      <c r="D180" s="17" t="s">
        <v>142</v>
      </c>
      <c r="E180" s="17" t="s">
        <v>142</v>
      </c>
      <c r="F180" s="17" t="s">
        <v>149</v>
      </c>
      <c r="G180" s="17" t="s">
        <v>160</v>
      </c>
      <c r="H180" s="17" t="s">
        <v>195</v>
      </c>
    </row>
    <row r="181" customFormat="false" ht="15" hidden="false" customHeight="false" outlineLevel="0" collapsed="false">
      <c r="A181" s="18" t="n">
        <v>46489</v>
      </c>
      <c r="B181" s="17" t="s">
        <v>207</v>
      </c>
      <c r="C181" s="17" t="s">
        <v>140</v>
      </c>
      <c r="D181" s="17" t="s">
        <v>142</v>
      </c>
      <c r="E181" s="17" t="s">
        <v>142</v>
      </c>
      <c r="F181" s="17" t="s">
        <v>149</v>
      </c>
      <c r="G181" s="17" t="s">
        <v>160</v>
      </c>
      <c r="H181" s="17" t="s">
        <v>196</v>
      </c>
    </row>
    <row r="182" customFormat="false" ht="15" hidden="false" customHeight="false" outlineLevel="0" collapsed="false">
      <c r="A182" s="18" t="n">
        <v>46490</v>
      </c>
      <c r="B182" s="17" t="s">
        <v>208</v>
      </c>
      <c r="C182" s="17" t="s">
        <v>140</v>
      </c>
      <c r="D182" s="17" t="s">
        <v>142</v>
      </c>
      <c r="E182" s="17" t="s">
        <v>142</v>
      </c>
      <c r="F182" s="17" t="s">
        <v>149</v>
      </c>
      <c r="G182" s="17" t="s">
        <v>160</v>
      </c>
      <c r="H182" s="17" t="s">
        <v>197</v>
      </c>
    </row>
    <row r="183" customFormat="false" ht="15" hidden="false" customHeight="false" outlineLevel="0" collapsed="false">
      <c r="A183" s="18" t="n">
        <v>46491</v>
      </c>
      <c r="B183" s="17" t="s">
        <v>209</v>
      </c>
      <c r="C183" s="17" t="s">
        <v>140</v>
      </c>
      <c r="D183" s="17" t="s">
        <v>142</v>
      </c>
      <c r="E183" s="17" t="s">
        <v>142</v>
      </c>
      <c r="F183" s="17" t="s">
        <v>149</v>
      </c>
      <c r="G183" s="17" t="s">
        <v>160</v>
      </c>
      <c r="H183" s="17" t="s">
        <v>198</v>
      </c>
    </row>
    <row r="184" customFormat="false" ht="15" hidden="false" customHeight="false" outlineLevel="0" collapsed="false">
      <c r="A184" s="18" t="n">
        <v>46492</v>
      </c>
      <c r="B184" s="17" t="s">
        <v>203</v>
      </c>
      <c r="C184" s="17" t="s">
        <v>140</v>
      </c>
      <c r="D184" s="17" t="s">
        <v>142</v>
      </c>
      <c r="E184" s="17" t="s">
        <v>142</v>
      </c>
      <c r="F184" s="17" t="s">
        <v>149</v>
      </c>
      <c r="G184" s="17" t="s">
        <v>160</v>
      </c>
      <c r="H184" s="17" t="s">
        <v>199</v>
      </c>
    </row>
    <row r="185" customFormat="false" ht="15" hidden="false" customHeight="false" outlineLevel="0" collapsed="false">
      <c r="A185" s="18" t="n">
        <v>46493</v>
      </c>
      <c r="B185" s="17" t="s">
        <v>204</v>
      </c>
      <c r="C185" s="17" t="s">
        <v>140</v>
      </c>
      <c r="D185" s="17" t="s">
        <v>142</v>
      </c>
      <c r="E185" s="17" t="s">
        <v>142</v>
      </c>
      <c r="F185" s="17" t="s">
        <v>149</v>
      </c>
      <c r="G185" s="17" t="s">
        <v>160</v>
      </c>
      <c r="H185" s="17" t="s">
        <v>171</v>
      </c>
    </row>
    <row r="186" customFormat="false" ht="15" hidden="false" customHeight="false" outlineLevel="0" collapsed="false">
      <c r="A186" s="18" t="n">
        <v>46494</v>
      </c>
      <c r="B186" s="17" t="s">
        <v>205</v>
      </c>
      <c r="C186" s="17" t="s">
        <v>140</v>
      </c>
      <c r="D186" s="17" t="s">
        <v>142</v>
      </c>
      <c r="E186" s="17" t="s">
        <v>142</v>
      </c>
      <c r="F186" s="17" t="s">
        <v>149</v>
      </c>
      <c r="G186" s="17" t="s">
        <v>160</v>
      </c>
      <c r="H186" s="17" t="s">
        <v>172</v>
      </c>
    </row>
    <row r="187" customFormat="false" ht="15" hidden="false" customHeight="false" outlineLevel="0" collapsed="false">
      <c r="A187" s="18" t="n">
        <v>46495</v>
      </c>
      <c r="B187" s="17" t="s">
        <v>206</v>
      </c>
      <c r="C187" s="17" t="s">
        <v>140</v>
      </c>
      <c r="D187" s="17" t="s">
        <v>142</v>
      </c>
      <c r="E187" s="17" t="s">
        <v>142</v>
      </c>
      <c r="F187" s="17" t="s">
        <v>149</v>
      </c>
      <c r="G187" s="17" t="s">
        <v>160</v>
      </c>
      <c r="H187" s="17" t="s">
        <v>173</v>
      </c>
    </row>
    <row r="188" customFormat="false" ht="15" hidden="false" customHeight="false" outlineLevel="0" collapsed="false">
      <c r="A188" s="18" t="n">
        <v>46496</v>
      </c>
      <c r="B188" s="17" t="s">
        <v>207</v>
      </c>
      <c r="C188" s="17" t="s">
        <v>140</v>
      </c>
      <c r="D188" s="17" t="s">
        <v>142</v>
      </c>
      <c r="E188" s="17" t="s">
        <v>142</v>
      </c>
      <c r="F188" s="17" t="s">
        <v>149</v>
      </c>
      <c r="G188" s="17" t="s">
        <v>160</v>
      </c>
      <c r="H188" s="17" t="s">
        <v>174</v>
      </c>
    </row>
    <row r="189" customFormat="false" ht="15" hidden="false" customHeight="false" outlineLevel="0" collapsed="false">
      <c r="A189" s="18" t="n">
        <v>46497</v>
      </c>
      <c r="B189" s="17" t="s">
        <v>208</v>
      </c>
      <c r="C189" s="17" t="s">
        <v>140</v>
      </c>
      <c r="D189" s="17" t="s">
        <v>142</v>
      </c>
      <c r="E189" s="17" t="s">
        <v>142</v>
      </c>
      <c r="F189" s="17" t="s">
        <v>149</v>
      </c>
      <c r="G189" s="17" t="s">
        <v>160</v>
      </c>
      <c r="H189" s="17" t="s">
        <v>175</v>
      </c>
    </row>
    <row r="190" customFormat="false" ht="15" hidden="false" customHeight="false" outlineLevel="0" collapsed="false">
      <c r="A190" s="18" t="n">
        <v>46498</v>
      </c>
      <c r="B190" s="17" t="s">
        <v>209</v>
      </c>
      <c r="C190" s="17" t="s">
        <v>140</v>
      </c>
      <c r="D190" s="17" t="s">
        <v>142</v>
      </c>
      <c r="E190" s="17" t="s">
        <v>142</v>
      </c>
      <c r="F190" s="17" t="s">
        <v>149</v>
      </c>
      <c r="G190" s="17" t="s">
        <v>160</v>
      </c>
      <c r="H190" s="17" t="s">
        <v>176</v>
      </c>
    </row>
    <row r="191" customFormat="false" ht="15" hidden="false" customHeight="false" outlineLevel="0" collapsed="false">
      <c r="A191" s="18" t="n">
        <v>46499</v>
      </c>
      <c r="B191" s="17" t="s">
        <v>203</v>
      </c>
      <c r="C191" s="17" t="s">
        <v>140</v>
      </c>
      <c r="D191" s="17" t="s">
        <v>142</v>
      </c>
      <c r="E191" s="17" t="s">
        <v>142</v>
      </c>
      <c r="F191" s="17" t="s">
        <v>149</v>
      </c>
      <c r="G191" s="17" t="s">
        <v>160</v>
      </c>
      <c r="H191" s="17" t="s">
        <v>177</v>
      </c>
    </row>
    <row r="192" customFormat="false" ht="15" hidden="false" customHeight="false" outlineLevel="0" collapsed="false">
      <c r="A192" s="18" t="n">
        <v>46500</v>
      </c>
      <c r="B192" s="17" t="s">
        <v>204</v>
      </c>
      <c r="C192" s="17" t="s">
        <v>140</v>
      </c>
      <c r="D192" s="17" t="s">
        <v>142</v>
      </c>
      <c r="E192" s="17" t="s">
        <v>142</v>
      </c>
      <c r="F192" s="17" t="s">
        <v>149</v>
      </c>
      <c r="G192" s="17" t="s">
        <v>160</v>
      </c>
      <c r="H192" s="17" t="s">
        <v>178</v>
      </c>
    </row>
    <row r="193" customFormat="false" ht="15" hidden="false" customHeight="false" outlineLevel="0" collapsed="false">
      <c r="A193" s="18" t="n">
        <v>46501</v>
      </c>
      <c r="B193" s="17" t="s">
        <v>205</v>
      </c>
      <c r="C193" s="17" t="s">
        <v>140</v>
      </c>
      <c r="D193" s="17" t="s">
        <v>142</v>
      </c>
      <c r="E193" s="17" t="s">
        <v>142</v>
      </c>
      <c r="F193" s="17" t="s">
        <v>149</v>
      </c>
      <c r="G193" s="17" t="s">
        <v>160</v>
      </c>
      <c r="H193" s="17" t="s">
        <v>179</v>
      </c>
    </row>
    <row r="194" customFormat="false" ht="15" hidden="false" customHeight="false" outlineLevel="0" collapsed="false">
      <c r="A194" s="18" t="n">
        <v>46502</v>
      </c>
      <c r="B194" s="17" t="s">
        <v>206</v>
      </c>
      <c r="C194" s="17" t="s">
        <v>140</v>
      </c>
      <c r="D194" s="17" t="s">
        <v>142</v>
      </c>
      <c r="E194" s="17" t="s">
        <v>142</v>
      </c>
      <c r="F194" s="17" t="s">
        <v>149</v>
      </c>
      <c r="G194" s="17" t="s">
        <v>160</v>
      </c>
      <c r="H194" s="17" t="s">
        <v>180</v>
      </c>
    </row>
    <row r="195" customFormat="false" ht="15" hidden="false" customHeight="false" outlineLevel="0" collapsed="false">
      <c r="A195" s="18" t="n">
        <v>46503</v>
      </c>
      <c r="B195" s="17" t="s">
        <v>207</v>
      </c>
      <c r="C195" s="17" t="s">
        <v>140</v>
      </c>
      <c r="D195" s="17" t="s">
        <v>142</v>
      </c>
      <c r="E195" s="17" t="s">
        <v>142</v>
      </c>
      <c r="F195" s="17" t="s">
        <v>149</v>
      </c>
      <c r="G195" s="17" t="s">
        <v>160</v>
      </c>
      <c r="H195" s="17" t="s">
        <v>182</v>
      </c>
    </row>
    <row r="196" customFormat="false" ht="15" hidden="false" customHeight="false" outlineLevel="0" collapsed="false">
      <c r="A196" s="18" t="n">
        <v>46504</v>
      </c>
      <c r="B196" s="17" t="s">
        <v>208</v>
      </c>
      <c r="C196" s="17" t="s">
        <v>140</v>
      </c>
      <c r="D196" s="17" t="s">
        <v>142</v>
      </c>
      <c r="E196" s="17" t="s">
        <v>142</v>
      </c>
      <c r="F196" s="17" t="s">
        <v>149</v>
      </c>
      <c r="G196" s="17" t="s">
        <v>160</v>
      </c>
      <c r="H196" s="17" t="s">
        <v>183</v>
      </c>
    </row>
    <row r="197" customFormat="false" ht="15" hidden="false" customHeight="false" outlineLevel="0" collapsed="false">
      <c r="A197" s="18" t="n">
        <v>46505</v>
      </c>
      <c r="B197" s="17" t="s">
        <v>209</v>
      </c>
      <c r="C197" s="17" t="s">
        <v>140</v>
      </c>
      <c r="D197" s="17" t="s">
        <v>142</v>
      </c>
      <c r="E197" s="17" t="s">
        <v>142</v>
      </c>
      <c r="F197" s="17" t="s">
        <v>149</v>
      </c>
      <c r="G197" s="17" t="s">
        <v>160</v>
      </c>
      <c r="H197" s="17" t="s">
        <v>184</v>
      </c>
    </row>
    <row r="198" customFormat="false" ht="15" hidden="false" customHeight="false" outlineLevel="0" collapsed="false">
      <c r="A198" s="18" t="n">
        <v>46506</v>
      </c>
      <c r="B198" s="17" t="s">
        <v>203</v>
      </c>
      <c r="C198" s="17" t="s">
        <v>140</v>
      </c>
      <c r="D198" s="17" t="s">
        <v>142</v>
      </c>
      <c r="E198" s="17" t="s">
        <v>142</v>
      </c>
      <c r="F198" s="17" t="s">
        <v>149</v>
      </c>
      <c r="G198" s="17" t="s">
        <v>160</v>
      </c>
      <c r="H198" s="17" t="s">
        <v>185</v>
      </c>
    </row>
    <row r="199" customFormat="false" ht="15" hidden="false" customHeight="false" outlineLevel="0" collapsed="false">
      <c r="A199" s="18" t="n">
        <v>46507</v>
      </c>
      <c r="B199" s="17" t="s">
        <v>204</v>
      </c>
      <c r="C199" s="17" t="s">
        <v>140</v>
      </c>
      <c r="D199" s="17" t="s">
        <v>142</v>
      </c>
      <c r="E199" s="17" t="s">
        <v>142</v>
      </c>
      <c r="F199" s="17" t="s">
        <v>149</v>
      </c>
      <c r="G199" s="17" t="s">
        <v>160</v>
      </c>
      <c r="H199" s="17" t="s">
        <v>186</v>
      </c>
    </row>
    <row r="200" customFormat="false" ht="15" hidden="false" customHeight="false" outlineLevel="0" collapsed="false">
      <c r="A200" s="18" t="n">
        <v>46508</v>
      </c>
      <c r="B200" s="17" t="s">
        <v>205</v>
      </c>
      <c r="C200" s="17" t="s">
        <v>140</v>
      </c>
      <c r="D200" s="17" t="s">
        <v>142</v>
      </c>
      <c r="E200" s="17" t="s">
        <v>142</v>
      </c>
      <c r="F200" s="17" t="s">
        <v>149</v>
      </c>
      <c r="G200" s="17" t="s">
        <v>160</v>
      </c>
      <c r="H200" s="17" t="s">
        <v>187</v>
      </c>
    </row>
    <row r="201" customFormat="false" ht="15" hidden="false" customHeight="false" outlineLevel="0" collapsed="false">
      <c r="A201" s="18" t="n">
        <v>46509</v>
      </c>
      <c r="B201" s="17" t="s">
        <v>206</v>
      </c>
      <c r="C201" s="17" t="s">
        <v>140</v>
      </c>
      <c r="D201" s="17" t="s">
        <v>142</v>
      </c>
      <c r="E201" s="17" t="s">
        <v>142</v>
      </c>
      <c r="F201" s="17" t="s">
        <v>149</v>
      </c>
      <c r="G201" s="17" t="s">
        <v>160</v>
      </c>
      <c r="H201" s="17" t="s">
        <v>188</v>
      </c>
    </row>
    <row r="202" customFormat="false" ht="15" hidden="false" customHeight="false" outlineLevel="0" collapsed="false">
      <c r="A202" s="18" t="n">
        <v>46510</v>
      </c>
      <c r="B202" s="17" t="s">
        <v>207</v>
      </c>
      <c r="C202" s="17" t="s">
        <v>140</v>
      </c>
      <c r="D202" s="17" t="s">
        <v>142</v>
      </c>
      <c r="E202" s="17" t="s">
        <v>142</v>
      </c>
      <c r="F202" s="17" t="s">
        <v>149</v>
      </c>
      <c r="G202" s="17" t="s">
        <v>160</v>
      </c>
      <c r="H202" s="17" t="s">
        <v>189</v>
      </c>
    </row>
    <row r="203" customFormat="false" ht="15" hidden="false" customHeight="false" outlineLevel="0" collapsed="false">
      <c r="A203" s="18" t="n">
        <v>46511</v>
      </c>
      <c r="B203" s="17" t="s">
        <v>208</v>
      </c>
      <c r="C203" s="17" t="s">
        <v>140</v>
      </c>
      <c r="D203" s="17" t="s">
        <v>142</v>
      </c>
      <c r="E203" s="17" t="s">
        <v>142</v>
      </c>
      <c r="F203" s="17" t="s">
        <v>149</v>
      </c>
      <c r="G203" s="17" t="s">
        <v>160</v>
      </c>
      <c r="H203" s="17" t="s">
        <v>190</v>
      </c>
    </row>
    <row r="204" customFormat="false" ht="15" hidden="false" customHeight="false" outlineLevel="0" collapsed="false">
      <c r="A204" s="18" t="n">
        <v>46512</v>
      </c>
      <c r="B204" s="17" t="s">
        <v>209</v>
      </c>
      <c r="C204" s="17" t="s">
        <v>140</v>
      </c>
      <c r="D204" s="17" t="s">
        <v>142</v>
      </c>
      <c r="E204" s="17" t="s">
        <v>142</v>
      </c>
      <c r="F204" s="17" t="s">
        <v>149</v>
      </c>
      <c r="G204" s="17" t="s">
        <v>160</v>
      </c>
      <c r="H204" s="17" t="s">
        <v>191</v>
      </c>
    </row>
    <row r="205" customFormat="false" ht="15" hidden="false" customHeight="false" outlineLevel="0" collapsed="false">
      <c r="A205" s="18" t="n">
        <v>46513</v>
      </c>
      <c r="B205" s="17" t="s">
        <v>203</v>
      </c>
      <c r="C205" s="17" t="s">
        <v>140</v>
      </c>
      <c r="D205" s="17" t="s">
        <v>142</v>
      </c>
      <c r="E205" s="17" t="s">
        <v>142</v>
      </c>
      <c r="F205" s="17" t="s">
        <v>157</v>
      </c>
      <c r="G205" s="17" t="s">
        <v>160</v>
      </c>
      <c r="H205" s="17" t="s">
        <v>170</v>
      </c>
    </row>
    <row r="206" customFormat="false" ht="15" hidden="false" customHeight="false" outlineLevel="0" collapsed="false">
      <c r="A206" s="18" t="n">
        <v>46514</v>
      </c>
      <c r="B206" s="17" t="s">
        <v>204</v>
      </c>
      <c r="C206" s="17" t="s">
        <v>140</v>
      </c>
      <c r="D206" s="17" t="s">
        <v>142</v>
      </c>
      <c r="E206" s="17" t="s">
        <v>142</v>
      </c>
      <c r="F206" s="17" t="s">
        <v>157</v>
      </c>
      <c r="G206" s="17" t="s">
        <v>160</v>
      </c>
      <c r="H206" s="17" t="s">
        <v>181</v>
      </c>
    </row>
    <row r="207" customFormat="false" ht="15" hidden="false" customHeight="false" outlineLevel="0" collapsed="false">
      <c r="A207" s="18" t="n">
        <v>46515</v>
      </c>
      <c r="B207" s="17" t="s">
        <v>205</v>
      </c>
      <c r="C207" s="17" t="s">
        <v>140</v>
      </c>
      <c r="D207" s="17" t="s">
        <v>142</v>
      </c>
      <c r="E207" s="17" t="s">
        <v>142</v>
      </c>
      <c r="F207" s="17" t="s">
        <v>157</v>
      </c>
      <c r="G207" s="17" t="s">
        <v>160</v>
      </c>
      <c r="H207" s="17" t="s">
        <v>192</v>
      </c>
    </row>
    <row r="208" customFormat="false" ht="15" hidden="false" customHeight="false" outlineLevel="0" collapsed="false">
      <c r="A208" s="18" t="n">
        <v>46516</v>
      </c>
      <c r="B208" s="17" t="s">
        <v>206</v>
      </c>
      <c r="C208" s="17" t="s">
        <v>140</v>
      </c>
      <c r="D208" s="17" t="s">
        <v>142</v>
      </c>
      <c r="E208" s="17" t="s">
        <v>142</v>
      </c>
      <c r="F208" s="17" t="s">
        <v>157</v>
      </c>
      <c r="G208" s="17" t="s">
        <v>160</v>
      </c>
      <c r="H208" s="17" t="s">
        <v>194</v>
      </c>
    </row>
    <row r="209" customFormat="false" ht="15" hidden="false" customHeight="false" outlineLevel="0" collapsed="false">
      <c r="A209" s="18" t="n">
        <v>46517</v>
      </c>
      <c r="B209" s="17" t="s">
        <v>207</v>
      </c>
      <c r="C209" s="17" t="s">
        <v>140</v>
      </c>
      <c r="D209" s="17" t="s">
        <v>142</v>
      </c>
      <c r="E209" s="17" t="s">
        <v>142</v>
      </c>
      <c r="F209" s="17" t="s">
        <v>157</v>
      </c>
      <c r="G209" s="17" t="s">
        <v>160</v>
      </c>
      <c r="H209" s="17" t="s">
        <v>195</v>
      </c>
    </row>
    <row r="210" customFormat="false" ht="15" hidden="false" customHeight="false" outlineLevel="0" collapsed="false">
      <c r="A210" s="18" t="n">
        <v>46518</v>
      </c>
      <c r="B210" s="17" t="s">
        <v>208</v>
      </c>
      <c r="C210" s="17" t="s">
        <v>140</v>
      </c>
      <c r="D210" s="17" t="s">
        <v>142</v>
      </c>
      <c r="E210" s="17" t="s">
        <v>142</v>
      </c>
      <c r="F210" s="17" t="s">
        <v>157</v>
      </c>
      <c r="G210" s="17" t="s">
        <v>160</v>
      </c>
      <c r="H210" s="17" t="s">
        <v>196</v>
      </c>
    </row>
    <row r="211" customFormat="false" ht="15" hidden="false" customHeight="false" outlineLevel="0" collapsed="false">
      <c r="A211" s="18" t="n">
        <v>46519</v>
      </c>
      <c r="B211" s="17" t="s">
        <v>209</v>
      </c>
      <c r="C211" s="17" t="s">
        <v>140</v>
      </c>
      <c r="D211" s="17" t="s">
        <v>142</v>
      </c>
      <c r="E211" s="17" t="s">
        <v>142</v>
      </c>
      <c r="F211" s="17" t="s">
        <v>157</v>
      </c>
      <c r="G211" s="17" t="s">
        <v>160</v>
      </c>
      <c r="H211" s="17" t="s">
        <v>197</v>
      </c>
    </row>
    <row r="212" customFormat="false" ht="15" hidden="false" customHeight="false" outlineLevel="0" collapsed="false">
      <c r="A212" s="18" t="n">
        <v>46520</v>
      </c>
      <c r="B212" s="17" t="s">
        <v>203</v>
      </c>
      <c r="C212" s="17" t="s">
        <v>140</v>
      </c>
      <c r="D212" s="17" t="s">
        <v>142</v>
      </c>
      <c r="E212" s="17" t="s">
        <v>142</v>
      </c>
      <c r="F212" s="17" t="s">
        <v>157</v>
      </c>
      <c r="G212" s="17" t="s">
        <v>160</v>
      </c>
      <c r="H212" s="17" t="s">
        <v>198</v>
      </c>
    </row>
    <row r="213" customFormat="false" ht="15" hidden="false" customHeight="false" outlineLevel="0" collapsed="false">
      <c r="A213" s="18" t="n">
        <v>46521</v>
      </c>
      <c r="B213" s="17" t="s">
        <v>204</v>
      </c>
      <c r="C213" s="17" t="s">
        <v>140</v>
      </c>
      <c r="D213" s="17" t="s">
        <v>142</v>
      </c>
      <c r="E213" s="17" t="s">
        <v>142</v>
      </c>
      <c r="F213" s="17" t="s">
        <v>157</v>
      </c>
      <c r="G213" s="17" t="s">
        <v>160</v>
      </c>
      <c r="H213" s="17" t="s">
        <v>199</v>
      </c>
    </row>
    <row r="214" customFormat="false" ht="15" hidden="false" customHeight="false" outlineLevel="0" collapsed="false">
      <c r="A214" s="18" t="n">
        <v>46522</v>
      </c>
      <c r="B214" s="17" t="s">
        <v>205</v>
      </c>
      <c r="C214" s="17" t="s">
        <v>140</v>
      </c>
      <c r="D214" s="17" t="s">
        <v>142</v>
      </c>
      <c r="E214" s="17" t="s">
        <v>142</v>
      </c>
      <c r="F214" s="17" t="s">
        <v>157</v>
      </c>
      <c r="G214" s="17" t="s">
        <v>160</v>
      </c>
      <c r="H214" s="17" t="s">
        <v>171</v>
      </c>
    </row>
    <row r="215" customFormat="false" ht="15" hidden="false" customHeight="false" outlineLevel="0" collapsed="false">
      <c r="A215" s="18" t="n">
        <v>46523</v>
      </c>
      <c r="B215" s="17" t="s">
        <v>206</v>
      </c>
      <c r="C215" s="17" t="s">
        <v>140</v>
      </c>
      <c r="D215" s="17" t="s">
        <v>142</v>
      </c>
      <c r="E215" s="17" t="s">
        <v>142</v>
      </c>
      <c r="F215" s="17" t="s">
        <v>157</v>
      </c>
      <c r="G215" s="17" t="s">
        <v>160</v>
      </c>
      <c r="H215" s="17" t="s">
        <v>172</v>
      </c>
    </row>
    <row r="216" customFormat="false" ht="15" hidden="false" customHeight="false" outlineLevel="0" collapsed="false">
      <c r="A216" s="18" t="n">
        <v>46524</v>
      </c>
      <c r="B216" s="17" t="s">
        <v>207</v>
      </c>
      <c r="C216" s="17" t="s">
        <v>140</v>
      </c>
      <c r="D216" s="17" t="s">
        <v>142</v>
      </c>
      <c r="E216" s="17" t="s">
        <v>142</v>
      </c>
      <c r="F216" s="17" t="s">
        <v>157</v>
      </c>
      <c r="G216" s="17" t="s">
        <v>160</v>
      </c>
      <c r="H216" s="17" t="s">
        <v>173</v>
      </c>
    </row>
    <row r="217" customFormat="false" ht="15" hidden="false" customHeight="false" outlineLevel="0" collapsed="false">
      <c r="A217" s="18" t="n">
        <v>46525</v>
      </c>
      <c r="B217" s="17" t="s">
        <v>208</v>
      </c>
      <c r="C217" s="17" t="s">
        <v>140</v>
      </c>
      <c r="D217" s="17" t="s">
        <v>142</v>
      </c>
      <c r="E217" s="17" t="s">
        <v>142</v>
      </c>
      <c r="F217" s="17" t="s">
        <v>157</v>
      </c>
      <c r="G217" s="17" t="s">
        <v>160</v>
      </c>
      <c r="H217" s="17" t="s">
        <v>174</v>
      </c>
    </row>
    <row r="218" customFormat="false" ht="15" hidden="false" customHeight="false" outlineLevel="0" collapsed="false">
      <c r="A218" s="18" t="n">
        <v>46526</v>
      </c>
      <c r="B218" s="17" t="s">
        <v>209</v>
      </c>
      <c r="C218" s="17" t="s">
        <v>140</v>
      </c>
      <c r="D218" s="17" t="s">
        <v>142</v>
      </c>
      <c r="E218" s="17" t="s">
        <v>142</v>
      </c>
      <c r="F218" s="17" t="s">
        <v>157</v>
      </c>
      <c r="G218" s="17" t="s">
        <v>160</v>
      </c>
      <c r="H218" s="17" t="s">
        <v>175</v>
      </c>
    </row>
    <row r="219" customFormat="false" ht="15" hidden="false" customHeight="false" outlineLevel="0" collapsed="false">
      <c r="A219" s="18" t="n">
        <v>46527</v>
      </c>
      <c r="B219" s="17" t="s">
        <v>203</v>
      </c>
      <c r="C219" s="17" t="s">
        <v>140</v>
      </c>
      <c r="D219" s="17" t="s">
        <v>142</v>
      </c>
      <c r="E219" s="17" t="s">
        <v>142</v>
      </c>
      <c r="F219" s="17" t="s">
        <v>157</v>
      </c>
      <c r="G219" s="17" t="s">
        <v>160</v>
      </c>
      <c r="H219" s="17" t="s">
        <v>176</v>
      </c>
    </row>
    <row r="220" customFormat="false" ht="15" hidden="false" customHeight="false" outlineLevel="0" collapsed="false">
      <c r="A220" s="18" t="n">
        <v>46528</v>
      </c>
      <c r="B220" s="17" t="s">
        <v>204</v>
      </c>
      <c r="C220" s="17" t="s">
        <v>140</v>
      </c>
      <c r="D220" s="17" t="s">
        <v>142</v>
      </c>
      <c r="E220" s="17" t="s">
        <v>142</v>
      </c>
      <c r="F220" s="17" t="s">
        <v>157</v>
      </c>
      <c r="G220" s="17" t="s">
        <v>160</v>
      </c>
      <c r="H220" s="17" t="s">
        <v>177</v>
      </c>
    </row>
    <row r="221" customFormat="false" ht="15" hidden="false" customHeight="false" outlineLevel="0" collapsed="false">
      <c r="A221" s="18" t="n">
        <v>46529</v>
      </c>
      <c r="B221" s="17" t="s">
        <v>205</v>
      </c>
      <c r="C221" s="17" t="s">
        <v>140</v>
      </c>
      <c r="D221" s="17" t="s">
        <v>142</v>
      </c>
      <c r="E221" s="17" t="s">
        <v>142</v>
      </c>
      <c r="F221" s="17" t="s">
        <v>157</v>
      </c>
      <c r="G221" s="17" t="s">
        <v>160</v>
      </c>
      <c r="H221" s="17" t="s">
        <v>178</v>
      </c>
    </row>
    <row r="222" customFormat="false" ht="15" hidden="false" customHeight="false" outlineLevel="0" collapsed="false">
      <c r="A222" s="18" t="n">
        <v>46530</v>
      </c>
      <c r="B222" s="17" t="s">
        <v>206</v>
      </c>
      <c r="C222" s="17" t="s">
        <v>140</v>
      </c>
      <c r="D222" s="17" t="s">
        <v>142</v>
      </c>
      <c r="E222" s="17" t="s">
        <v>142</v>
      </c>
      <c r="F222" s="17" t="s">
        <v>157</v>
      </c>
      <c r="G222" s="17" t="s">
        <v>160</v>
      </c>
      <c r="H222" s="17" t="s">
        <v>179</v>
      </c>
    </row>
    <row r="223" customFormat="false" ht="15" hidden="false" customHeight="false" outlineLevel="0" collapsed="false">
      <c r="A223" s="18" t="n">
        <v>46531</v>
      </c>
      <c r="B223" s="17" t="s">
        <v>207</v>
      </c>
      <c r="C223" s="17" t="s">
        <v>140</v>
      </c>
      <c r="D223" s="17" t="s">
        <v>142</v>
      </c>
      <c r="E223" s="17" t="s">
        <v>142</v>
      </c>
      <c r="F223" s="17" t="s">
        <v>157</v>
      </c>
      <c r="G223" s="17" t="s">
        <v>160</v>
      </c>
      <c r="H223" s="17" t="s">
        <v>180</v>
      </c>
    </row>
    <row r="224" customFormat="false" ht="15" hidden="false" customHeight="false" outlineLevel="0" collapsed="false">
      <c r="A224" s="18" t="n">
        <v>46532</v>
      </c>
      <c r="B224" s="17" t="s">
        <v>208</v>
      </c>
      <c r="C224" s="17" t="s">
        <v>140</v>
      </c>
      <c r="D224" s="17" t="s">
        <v>142</v>
      </c>
      <c r="E224" s="17" t="s">
        <v>142</v>
      </c>
      <c r="F224" s="17" t="s">
        <v>157</v>
      </c>
      <c r="G224" s="17" t="s">
        <v>160</v>
      </c>
      <c r="H224" s="17" t="s">
        <v>182</v>
      </c>
    </row>
    <row r="225" customFormat="false" ht="15" hidden="false" customHeight="false" outlineLevel="0" collapsed="false">
      <c r="A225" s="18" t="n">
        <v>46533</v>
      </c>
      <c r="B225" s="17" t="s">
        <v>209</v>
      </c>
      <c r="C225" s="17" t="s">
        <v>140</v>
      </c>
      <c r="D225" s="17" t="s">
        <v>142</v>
      </c>
      <c r="E225" s="17" t="s">
        <v>142</v>
      </c>
      <c r="F225" s="17" t="s">
        <v>157</v>
      </c>
      <c r="G225" s="17" t="s">
        <v>160</v>
      </c>
      <c r="H225" s="17" t="s">
        <v>183</v>
      </c>
    </row>
    <row r="226" customFormat="false" ht="15" hidden="false" customHeight="false" outlineLevel="0" collapsed="false">
      <c r="A226" s="18" t="n">
        <v>46534</v>
      </c>
      <c r="B226" s="17" t="s">
        <v>203</v>
      </c>
      <c r="C226" s="17" t="s">
        <v>140</v>
      </c>
      <c r="D226" s="17" t="s">
        <v>142</v>
      </c>
      <c r="E226" s="17" t="s">
        <v>142</v>
      </c>
      <c r="F226" s="17" t="s">
        <v>157</v>
      </c>
      <c r="G226" s="17" t="s">
        <v>160</v>
      </c>
      <c r="H226" s="17" t="s">
        <v>184</v>
      </c>
    </row>
    <row r="227" customFormat="false" ht="15" hidden="false" customHeight="false" outlineLevel="0" collapsed="false">
      <c r="A227" s="18" t="n">
        <v>46535</v>
      </c>
      <c r="B227" s="17" t="s">
        <v>204</v>
      </c>
      <c r="C227" s="17" t="s">
        <v>140</v>
      </c>
      <c r="D227" s="17" t="s">
        <v>142</v>
      </c>
      <c r="E227" s="17" t="s">
        <v>142</v>
      </c>
      <c r="F227" s="17" t="s">
        <v>157</v>
      </c>
      <c r="G227" s="17" t="s">
        <v>160</v>
      </c>
      <c r="H227" s="17" t="s">
        <v>185</v>
      </c>
    </row>
    <row r="228" customFormat="false" ht="15" hidden="false" customHeight="false" outlineLevel="0" collapsed="false">
      <c r="A228" s="18" t="n">
        <v>46536</v>
      </c>
      <c r="B228" s="17" t="s">
        <v>205</v>
      </c>
      <c r="C228" s="17" t="s">
        <v>140</v>
      </c>
      <c r="D228" s="17" t="s">
        <v>142</v>
      </c>
      <c r="E228" s="17" t="s">
        <v>142</v>
      </c>
      <c r="F228" s="17" t="s">
        <v>157</v>
      </c>
      <c r="G228" s="17" t="s">
        <v>160</v>
      </c>
      <c r="H228" s="17" t="s">
        <v>186</v>
      </c>
    </row>
    <row r="229" customFormat="false" ht="15" hidden="false" customHeight="false" outlineLevel="0" collapsed="false">
      <c r="A229" s="18" t="n">
        <v>46537</v>
      </c>
      <c r="B229" s="17" t="s">
        <v>206</v>
      </c>
      <c r="C229" s="17" t="s">
        <v>140</v>
      </c>
      <c r="D229" s="17" t="s">
        <v>142</v>
      </c>
      <c r="E229" s="17" t="s">
        <v>142</v>
      </c>
      <c r="F229" s="17" t="s">
        <v>157</v>
      </c>
      <c r="G229" s="17" t="s">
        <v>160</v>
      </c>
      <c r="H229" s="17" t="s">
        <v>187</v>
      </c>
    </row>
    <row r="230" customFormat="false" ht="15" hidden="false" customHeight="false" outlineLevel="0" collapsed="false">
      <c r="A230" s="18" t="n">
        <v>46538</v>
      </c>
      <c r="B230" s="17" t="s">
        <v>207</v>
      </c>
      <c r="C230" s="17" t="s">
        <v>140</v>
      </c>
      <c r="D230" s="17" t="s">
        <v>142</v>
      </c>
      <c r="E230" s="17" t="s">
        <v>142</v>
      </c>
      <c r="F230" s="17" t="s">
        <v>157</v>
      </c>
      <c r="G230" s="17" t="s">
        <v>160</v>
      </c>
      <c r="H230" s="17" t="s">
        <v>188</v>
      </c>
    </row>
    <row r="231" customFormat="false" ht="15" hidden="false" customHeight="false" outlineLevel="0" collapsed="false">
      <c r="A231" s="18" t="n">
        <v>46539</v>
      </c>
      <c r="B231" s="17" t="s">
        <v>208</v>
      </c>
      <c r="C231" s="17" t="s">
        <v>140</v>
      </c>
      <c r="D231" s="17" t="s">
        <v>142</v>
      </c>
      <c r="E231" s="17" t="s">
        <v>142</v>
      </c>
      <c r="F231" s="17" t="s">
        <v>157</v>
      </c>
      <c r="G231" s="17" t="s">
        <v>160</v>
      </c>
      <c r="H231" s="17" t="s">
        <v>189</v>
      </c>
    </row>
    <row r="232" customFormat="false" ht="15" hidden="false" customHeight="false" outlineLevel="0" collapsed="false">
      <c r="A232" s="18" t="n">
        <v>46540</v>
      </c>
      <c r="B232" s="17" t="s">
        <v>209</v>
      </c>
      <c r="C232" s="17" t="s">
        <v>140</v>
      </c>
      <c r="D232" s="17" t="s">
        <v>142</v>
      </c>
      <c r="E232" s="17" t="s">
        <v>142</v>
      </c>
      <c r="F232" s="17" t="s">
        <v>157</v>
      </c>
      <c r="G232" s="17" t="s">
        <v>160</v>
      </c>
      <c r="H232" s="17" t="s">
        <v>190</v>
      </c>
    </row>
    <row r="233" customFormat="false" ht="15" hidden="false" customHeight="false" outlineLevel="0" collapsed="false">
      <c r="A233" s="18" t="n">
        <v>46541</v>
      </c>
      <c r="B233" s="17" t="s">
        <v>203</v>
      </c>
      <c r="C233" s="17" t="s">
        <v>140</v>
      </c>
      <c r="D233" s="17" t="s">
        <v>142</v>
      </c>
      <c r="E233" s="17" t="s">
        <v>142</v>
      </c>
      <c r="F233" s="17" t="s">
        <v>157</v>
      </c>
      <c r="G233" s="17" t="s">
        <v>160</v>
      </c>
      <c r="H233" s="17" t="s">
        <v>191</v>
      </c>
    </row>
    <row r="234" customFormat="false" ht="15" hidden="false" customHeight="false" outlineLevel="0" collapsed="false">
      <c r="A234" s="18" t="n">
        <v>46542</v>
      </c>
      <c r="B234" s="17" t="s">
        <v>204</v>
      </c>
      <c r="C234" s="17" t="s">
        <v>140</v>
      </c>
      <c r="D234" s="17" t="s">
        <v>142</v>
      </c>
      <c r="E234" s="17" t="s">
        <v>142</v>
      </c>
      <c r="F234" s="17" t="s">
        <v>157</v>
      </c>
      <c r="G234" s="17" t="s">
        <v>160</v>
      </c>
      <c r="H234" s="17" t="s">
        <v>193</v>
      </c>
    </row>
    <row r="235" customFormat="false" ht="15" hidden="false" customHeight="false" outlineLevel="0" collapsed="false">
      <c r="A235" s="18" t="n">
        <v>46543</v>
      </c>
      <c r="B235" s="17" t="s">
        <v>205</v>
      </c>
      <c r="C235" s="17" t="s">
        <v>140</v>
      </c>
      <c r="D235" s="17" t="s">
        <v>142</v>
      </c>
      <c r="E235" s="17" t="s">
        <v>142</v>
      </c>
      <c r="F235" s="17" t="s">
        <v>150</v>
      </c>
      <c r="G235" s="17" t="s">
        <v>160</v>
      </c>
      <c r="H235" s="17" t="s">
        <v>170</v>
      </c>
    </row>
    <row r="236" customFormat="false" ht="15" hidden="false" customHeight="false" outlineLevel="0" collapsed="false">
      <c r="A236" s="18" t="n">
        <v>46544</v>
      </c>
      <c r="B236" s="17" t="s">
        <v>206</v>
      </c>
      <c r="C236" s="17" t="s">
        <v>140</v>
      </c>
      <c r="D236" s="17" t="s">
        <v>142</v>
      </c>
      <c r="E236" s="17" t="s">
        <v>142</v>
      </c>
      <c r="F236" s="17" t="s">
        <v>150</v>
      </c>
      <c r="G236" s="17" t="s">
        <v>160</v>
      </c>
      <c r="H236" s="17" t="s">
        <v>181</v>
      </c>
    </row>
    <row r="237" customFormat="false" ht="15" hidden="false" customHeight="false" outlineLevel="0" collapsed="false">
      <c r="A237" s="18" t="n">
        <v>46545</v>
      </c>
      <c r="B237" s="17" t="s">
        <v>207</v>
      </c>
      <c r="C237" s="17" t="s">
        <v>140</v>
      </c>
      <c r="D237" s="17" t="s">
        <v>142</v>
      </c>
      <c r="E237" s="17" t="s">
        <v>142</v>
      </c>
      <c r="F237" s="17" t="s">
        <v>150</v>
      </c>
      <c r="G237" s="17" t="s">
        <v>160</v>
      </c>
      <c r="H237" s="17" t="s">
        <v>192</v>
      </c>
    </row>
    <row r="238" customFormat="false" ht="15" hidden="false" customHeight="false" outlineLevel="0" collapsed="false">
      <c r="A238" s="18" t="n">
        <v>46546</v>
      </c>
      <c r="B238" s="17" t="s">
        <v>208</v>
      </c>
      <c r="C238" s="17" t="s">
        <v>140</v>
      </c>
      <c r="D238" s="17" t="s">
        <v>142</v>
      </c>
      <c r="E238" s="17" t="s">
        <v>142</v>
      </c>
      <c r="F238" s="17" t="s">
        <v>150</v>
      </c>
      <c r="G238" s="17" t="s">
        <v>160</v>
      </c>
      <c r="H238" s="17" t="s">
        <v>194</v>
      </c>
    </row>
    <row r="239" customFormat="false" ht="15" hidden="false" customHeight="false" outlineLevel="0" collapsed="false">
      <c r="A239" s="18" t="n">
        <v>46547</v>
      </c>
      <c r="B239" s="17" t="s">
        <v>209</v>
      </c>
      <c r="C239" s="17" t="s">
        <v>140</v>
      </c>
      <c r="D239" s="17" t="s">
        <v>142</v>
      </c>
      <c r="E239" s="17" t="s">
        <v>142</v>
      </c>
      <c r="F239" s="17" t="s">
        <v>150</v>
      </c>
      <c r="G239" s="17" t="s">
        <v>160</v>
      </c>
      <c r="H239" s="17" t="s">
        <v>195</v>
      </c>
    </row>
    <row r="240" customFormat="false" ht="15" hidden="false" customHeight="false" outlineLevel="0" collapsed="false">
      <c r="A240" s="18" t="n">
        <v>46548</v>
      </c>
      <c r="B240" s="17" t="s">
        <v>203</v>
      </c>
      <c r="C240" s="17" t="s">
        <v>140</v>
      </c>
      <c r="D240" s="17" t="s">
        <v>142</v>
      </c>
      <c r="E240" s="17" t="s">
        <v>142</v>
      </c>
      <c r="F240" s="17" t="s">
        <v>150</v>
      </c>
      <c r="G240" s="17" t="s">
        <v>160</v>
      </c>
      <c r="H240" s="17" t="s">
        <v>196</v>
      </c>
    </row>
    <row r="241" customFormat="false" ht="15" hidden="false" customHeight="false" outlineLevel="0" collapsed="false">
      <c r="A241" s="18" t="n">
        <v>46549</v>
      </c>
      <c r="B241" s="17" t="s">
        <v>204</v>
      </c>
      <c r="C241" s="17" t="s">
        <v>140</v>
      </c>
      <c r="D241" s="17" t="s">
        <v>142</v>
      </c>
      <c r="E241" s="17" t="s">
        <v>142</v>
      </c>
      <c r="F241" s="17" t="s">
        <v>150</v>
      </c>
      <c r="G241" s="17" t="s">
        <v>160</v>
      </c>
      <c r="H241" s="17" t="s">
        <v>197</v>
      </c>
    </row>
    <row r="242" customFormat="false" ht="15" hidden="false" customHeight="false" outlineLevel="0" collapsed="false">
      <c r="A242" s="18" t="n">
        <v>46550</v>
      </c>
      <c r="B242" s="17" t="s">
        <v>205</v>
      </c>
      <c r="C242" s="17" t="s">
        <v>140</v>
      </c>
      <c r="D242" s="17" t="s">
        <v>142</v>
      </c>
      <c r="E242" s="17" t="s">
        <v>142</v>
      </c>
      <c r="F242" s="17" t="s">
        <v>150</v>
      </c>
      <c r="G242" s="17" t="s">
        <v>160</v>
      </c>
      <c r="H242" s="17" t="s">
        <v>198</v>
      </c>
    </row>
    <row r="243" customFormat="false" ht="15" hidden="false" customHeight="false" outlineLevel="0" collapsed="false">
      <c r="A243" s="18" t="n">
        <v>46551</v>
      </c>
      <c r="B243" s="17" t="s">
        <v>206</v>
      </c>
      <c r="C243" s="17" t="s">
        <v>140</v>
      </c>
      <c r="D243" s="17" t="s">
        <v>142</v>
      </c>
      <c r="E243" s="17" t="s">
        <v>142</v>
      </c>
      <c r="F243" s="17" t="s">
        <v>150</v>
      </c>
      <c r="G243" s="17" t="s">
        <v>160</v>
      </c>
      <c r="H243" s="17" t="s">
        <v>199</v>
      </c>
    </row>
    <row r="244" customFormat="false" ht="15" hidden="false" customHeight="false" outlineLevel="0" collapsed="false">
      <c r="A244" s="18" t="n">
        <v>46552</v>
      </c>
      <c r="B244" s="17" t="s">
        <v>207</v>
      </c>
      <c r="C244" s="17" t="s">
        <v>140</v>
      </c>
      <c r="D244" s="17" t="s">
        <v>142</v>
      </c>
      <c r="E244" s="17" t="s">
        <v>142</v>
      </c>
      <c r="F244" s="17" t="s">
        <v>150</v>
      </c>
      <c r="G244" s="17" t="s">
        <v>160</v>
      </c>
      <c r="H244" s="17" t="s">
        <v>171</v>
      </c>
    </row>
    <row r="245" customFormat="false" ht="15" hidden="false" customHeight="false" outlineLevel="0" collapsed="false">
      <c r="A245" s="18" t="n">
        <v>46553</v>
      </c>
      <c r="B245" s="17" t="s">
        <v>208</v>
      </c>
      <c r="C245" s="17" t="s">
        <v>140</v>
      </c>
      <c r="D245" s="17" t="s">
        <v>142</v>
      </c>
      <c r="E245" s="17" t="s">
        <v>142</v>
      </c>
      <c r="F245" s="17" t="s">
        <v>150</v>
      </c>
      <c r="G245" s="17" t="s">
        <v>160</v>
      </c>
      <c r="H245" s="17" t="s">
        <v>172</v>
      </c>
    </row>
    <row r="246" customFormat="false" ht="15" hidden="false" customHeight="false" outlineLevel="0" collapsed="false">
      <c r="A246" s="18" t="n">
        <v>46554</v>
      </c>
      <c r="B246" s="17" t="s">
        <v>209</v>
      </c>
      <c r="C246" s="17" t="s">
        <v>140</v>
      </c>
      <c r="D246" s="17" t="s">
        <v>142</v>
      </c>
      <c r="E246" s="17" t="s">
        <v>142</v>
      </c>
      <c r="F246" s="17" t="s">
        <v>150</v>
      </c>
      <c r="G246" s="17" t="s">
        <v>160</v>
      </c>
      <c r="H246" s="17" t="s">
        <v>173</v>
      </c>
    </row>
    <row r="247" customFormat="false" ht="15" hidden="false" customHeight="false" outlineLevel="0" collapsed="false">
      <c r="A247" s="18" t="n">
        <v>46555</v>
      </c>
      <c r="B247" s="17" t="s">
        <v>203</v>
      </c>
      <c r="C247" s="17" t="s">
        <v>140</v>
      </c>
      <c r="D247" s="17" t="s">
        <v>142</v>
      </c>
      <c r="E247" s="17" t="s">
        <v>142</v>
      </c>
      <c r="F247" s="17" t="s">
        <v>150</v>
      </c>
      <c r="G247" s="17" t="s">
        <v>160</v>
      </c>
      <c r="H247" s="17" t="s">
        <v>174</v>
      </c>
    </row>
    <row r="248" customFormat="false" ht="15" hidden="false" customHeight="false" outlineLevel="0" collapsed="false">
      <c r="A248" s="18" t="n">
        <v>46556</v>
      </c>
      <c r="B248" s="17" t="s">
        <v>204</v>
      </c>
      <c r="C248" s="17" t="s">
        <v>140</v>
      </c>
      <c r="D248" s="17" t="s">
        <v>142</v>
      </c>
      <c r="E248" s="17" t="s">
        <v>142</v>
      </c>
      <c r="F248" s="17" t="s">
        <v>150</v>
      </c>
      <c r="G248" s="17" t="s">
        <v>160</v>
      </c>
      <c r="H248" s="17" t="s">
        <v>175</v>
      </c>
    </row>
    <row r="249" customFormat="false" ht="15" hidden="false" customHeight="false" outlineLevel="0" collapsed="false">
      <c r="A249" s="18" t="n">
        <v>46557</v>
      </c>
      <c r="B249" s="17" t="s">
        <v>205</v>
      </c>
      <c r="C249" s="17" t="s">
        <v>140</v>
      </c>
      <c r="D249" s="17" t="s">
        <v>142</v>
      </c>
      <c r="E249" s="17" t="s">
        <v>142</v>
      </c>
      <c r="F249" s="17" t="s">
        <v>150</v>
      </c>
      <c r="G249" s="17" t="s">
        <v>160</v>
      </c>
      <c r="H249" s="17" t="s">
        <v>176</v>
      </c>
    </row>
    <row r="250" customFormat="false" ht="15" hidden="false" customHeight="false" outlineLevel="0" collapsed="false">
      <c r="A250" s="18" t="n">
        <v>46558</v>
      </c>
      <c r="B250" s="17" t="s">
        <v>206</v>
      </c>
      <c r="C250" s="17" t="s">
        <v>140</v>
      </c>
      <c r="D250" s="17" t="s">
        <v>142</v>
      </c>
      <c r="E250" s="17" t="s">
        <v>142</v>
      </c>
      <c r="F250" s="17" t="s">
        <v>150</v>
      </c>
      <c r="G250" s="17" t="s">
        <v>160</v>
      </c>
      <c r="H250" s="17" t="s">
        <v>177</v>
      </c>
    </row>
    <row r="251" customFormat="false" ht="15" hidden="false" customHeight="false" outlineLevel="0" collapsed="false">
      <c r="A251" s="18" t="n">
        <v>46559</v>
      </c>
      <c r="B251" s="17" t="s">
        <v>207</v>
      </c>
      <c r="C251" s="17" t="s">
        <v>140</v>
      </c>
      <c r="D251" s="17" t="s">
        <v>142</v>
      </c>
      <c r="E251" s="17" t="s">
        <v>142</v>
      </c>
      <c r="F251" s="17" t="s">
        <v>150</v>
      </c>
      <c r="G251" s="17" t="s">
        <v>160</v>
      </c>
      <c r="H251" s="17" t="s">
        <v>178</v>
      </c>
    </row>
    <row r="252" customFormat="false" ht="15" hidden="false" customHeight="false" outlineLevel="0" collapsed="false">
      <c r="A252" s="18" t="n">
        <v>46560</v>
      </c>
      <c r="B252" s="17" t="s">
        <v>208</v>
      </c>
      <c r="C252" s="17" t="s">
        <v>140</v>
      </c>
      <c r="D252" s="17" t="s">
        <v>142</v>
      </c>
      <c r="E252" s="17" t="s">
        <v>142</v>
      </c>
      <c r="F252" s="17" t="s">
        <v>150</v>
      </c>
      <c r="G252" s="17" t="s">
        <v>160</v>
      </c>
      <c r="H252" s="17" t="s">
        <v>179</v>
      </c>
    </row>
    <row r="253" customFormat="false" ht="15" hidden="false" customHeight="false" outlineLevel="0" collapsed="false">
      <c r="A253" s="18" t="n">
        <v>46561</v>
      </c>
      <c r="B253" s="17" t="s">
        <v>209</v>
      </c>
      <c r="C253" s="17" t="s">
        <v>140</v>
      </c>
      <c r="D253" s="17" t="s">
        <v>142</v>
      </c>
      <c r="E253" s="17" t="s">
        <v>142</v>
      </c>
      <c r="F253" s="17" t="s">
        <v>150</v>
      </c>
      <c r="G253" s="17" t="s">
        <v>160</v>
      </c>
      <c r="H253" s="17" t="s">
        <v>180</v>
      </c>
    </row>
    <row r="254" customFormat="false" ht="15" hidden="false" customHeight="false" outlineLevel="0" collapsed="false">
      <c r="A254" s="18" t="n">
        <v>46562</v>
      </c>
      <c r="B254" s="17" t="s">
        <v>203</v>
      </c>
      <c r="C254" s="17" t="s">
        <v>140</v>
      </c>
      <c r="D254" s="17" t="s">
        <v>142</v>
      </c>
      <c r="E254" s="17" t="s">
        <v>142</v>
      </c>
      <c r="F254" s="17" t="s">
        <v>150</v>
      </c>
      <c r="G254" s="17" t="s">
        <v>160</v>
      </c>
      <c r="H254" s="17" t="s">
        <v>182</v>
      </c>
    </row>
    <row r="255" customFormat="false" ht="15" hidden="false" customHeight="false" outlineLevel="0" collapsed="false">
      <c r="A255" s="18" t="n">
        <v>46563</v>
      </c>
      <c r="B255" s="17" t="s">
        <v>204</v>
      </c>
      <c r="C255" s="17" t="s">
        <v>140</v>
      </c>
      <c r="D255" s="17" t="s">
        <v>142</v>
      </c>
      <c r="E255" s="17" t="s">
        <v>142</v>
      </c>
      <c r="F255" s="17" t="s">
        <v>150</v>
      </c>
      <c r="G255" s="17" t="s">
        <v>160</v>
      </c>
      <c r="H255" s="17" t="s">
        <v>183</v>
      </c>
    </row>
    <row r="256" customFormat="false" ht="15" hidden="false" customHeight="false" outlineLevel="0" collapsed="false">
      <c r="A256" s="18" t="n">
        <v>46564</v>
      </c>
      <c r="B256" s="17" t="s">
        <v>205</v>
      </c>
      <c r="C256" s="17" t="s">
        <v>140</v>
      </c>
      <c r="D256" s="17" t="s">
        <v>142</v>
      </c>
      <c r="E256" s="17" t="s">
        <v>142</v>
      </c>
      <c r="F256" s="17" t="s">
        <v>150</v>
      </c>
      <c r="G256" s="17" t="s">
        <v>160</v>
      </c>
      <c r="H256" s="17" t="s">
        <v>184</v>
      </c>
    </row>
    <row r="257" customFormat="false" ht="15" hidden="false" customHeight="false" outlineLevel="0" collapsed="false">
      <c r="A257" s="18" t="n">
        <v>46565</v>
      </c>
      <c r="B257" s="17" t="s">
        <v>206</v>
      </c>
      <c r="C257" s="17" t="s">
        <v>140</v>
      </c>
      <c r="D257" s="17" t="s">
        <v>142</v>
      </c>
      <c r="E257" s="17" t="s">
        <v>142</v>
      </c>
      <c r="F257" s="17" t="s">
        <v>150</v>
      </c>
      <c r="G257" s="17" t="s">
        <v>160</v>
      </c>
      <c r="H257" s="17" t="s">
        <v>185</v>
      </c>
    </row>
    <row r="258" customFormat="false" ht="15" hidden="false" customHeight="false" outlineLevel="0" collapsed="false">
      <c r="A258" s="18" t="n">
        <v>46566</v>
      </c>
      <c r="B258" s="17" t="s">
        <v>207</v>
      </c>
      <c r="C258" s="17" t="s">
        <v>140</v>
      </c>
      <c r="D258" s="17" t="s">
        <v>142</v>
      </c>
      <c r="E258" s="17" t="s">
        <v>142</v>
      </c>
      <c r="F258" s="17" t="s">
        <v>150</v>
      </c>
      <c r="G258" s="17" t="s">
        <v>160</v>
      </c>
      <c r="H258" s="17" t="s">
        <v>186</v>
      </c>
    </row>
    <row r="259" customFormat="false" ht="15" hidden="false" customHeight="false" outlineLevel="0" collapsed="false">
      <c r="A259" s="18" t="n">
        <v>46567</v>
      </c>
      <c r="B259" s="17" t="s">
        <v>208</v>
      </c>
      <c r="C259" s="17" t="s">
        <v>140</v>
      </c>
      <c r="D259" s="17" t="s">
        <v>142</v>
      </c>
      <c r="E259" s="17" t="s">
        <v>142</v>
      </c>
      <c r="F259" s="17" t="s">
        <v>150</v>
      </c>
      <c r="G259" s="17" t="s">
        <v>160</v>
      </c>
      <c r="H259" s="17" t="s">
        <v>187</v>
      </c>
    </row>
    <row r="260" customFormat="false" ht="15" hidden="false" customHeight="false" outlineLevel="0" collapsed="false">
      <c r="A260" s="18" t="n">
        <v>46568</v>
      </c>
      <c r="B260" s="17" t="s">
        <v>209</v>
      </c>
      <c r="C260" s="17" t="s">
        <v>140</v>
      </c>
      <c r="D260" s="17" t="s">
        <v>142</v>
      </c>
      <c r="E260" s="17" t="s">
        <v>142</v>
      </c>
      <c r="F260" s="17" t="s">
        <v>150</v>
      </c>
      <c r="G260" s="17" t="s">
        <v>160</v>
      </c>
      <c r="H260" s="17" t="s">
        <v>188</v>
      </c>
    </row>
    <row r="261" customFormat="false" ht="15" hidden="false" customHeight="false" outlineLevel="0" collapsed="false">
      <c r="A261" s="18" t="n">
        <v>46569</v>
      </c>
      <c r="B261" s="17" t="s">
        <v>203</v>
      </c>
      <c r="C261" s="17" t="s">
        <v>140</v>
      </c>
      <c r="D261" s="17" t="s">
        <v>142</v>
      </c>
      <c r="E261" s="17" t="s">
        <v>142</v>
      </c>
      <c r="F261" s="17" t="s">
        <v>150</v>
      </c>
      <c r="G261" s="17" t="s">
        <v>160</v>
      </c>
      <c r="H261" s="17" t="s">
        <v>189</v>
      </c>
    </row>
    <row r="262" customFormat="false" ht="15" hidden="false" customHeight="false" outlineLevel="0" collapsed="false">
      <c r="A262" s="18" t="n">
        <v>46570</v>
      </c>
      <c r="B262" s="17" t="s">
        <v>204</v>
      </c>
      <c r="C262" s="17" t="s">
        <v>140</v>
      </c>
      <c r="D262" s="17" t="s">
        <v>142</v>
      </c>
      <c r="E262" s="17" t="s">
        <v>142</v>
      </c>
      <c r="F262" s="17" t="s">
        <v>150</v>
      </c>
      <c r="G262" s="17" t="s">
        <v>160</v>
      </c>
      <c r="H262" s="17" t="s">
        <v>190</v>
      </c>
    </row>
    <row r="263" customFormat="false" ht="15" hidden="false" customHeight="false" outlineLevel="0" collapsed="false">
      <c r="A263" s="18" t="n">
        <v>46571</v>
      </c>
      <c r="B263" s="17" t="s">
        <v>205</v>
      </c>
      <c r="C263" s="17" t="s">
        <v>140</v>
      </c>
      <c r="D263" s="17" t="s">
        <v>142</v>
      </c>
      <c r="E263" s="17" t="s">
        <v>142</v>
      </c>
      <c r="F263" s="17" t="s">
        <v>150</v>
      </c>
      <c r="G263" s="17" t="s">
        <v>160</v>
      </c>
      <c r="H263" s="17" t="s">
        <v>191</v>
      </c>
    </row>
    <row r="264" customFormat="false" ht="15" hidden="false" customHeight="false" outlineLevel="0" collapsed="false">
      <c r="A264" s="18" t="n">
        <v>46572</v>
      </c>
      <c r="B264" s="17" t="s">
        <v>206</v>
      </c>
      <c r="C264" s="17" t="s">
        <v>140</v>
      </c>
      <c r="D264" s="17" t="s">
        <v>142</v>
      </c>
      <c r="E264" s="17" t="s">
        <v>142</v>
      </c>
      <c r="F264" s="17" t="s">
        <v>146</v>
      </c>
      <c r="G264" s="17" t="s">
        <v>160</v>
      </c>
      <c r="H264" s="17" t="s">
        <v>170</v>
      </c>
    </row>
    <row r="265" customFormat="false" ht="15" hidden="false" customHeight="false" outlineLevel="0" collapsed="false">
      <c r="A265" s="18" t="n">
        <v>46573</v>
      </c>
      <c r="B265" s="17" t="s">
        <v>207</v>
      </c>
      <c r="C265" s="17" t="s">
        <v>140</v>
      </c>
      <c r="D265" s="17" t="s">
        <v>142</v>
      </c>
      <c r="E265" s="17" t="s">
        <v>142</v>
      </c>
      <c r="F265" s="17" t="s">
        <v>146</v>
      </c>
      <c r="G265" s="17" t="s">
        <v>160</v>
      </c>
      <c r="H265" s="17" t="s">
        <v>181</v>
      </c>
    </row>
    <row r="266" customFormat="false" ht="15" hidden="false" customHeight="false" outlineLevel="0" collapsed="false">
      <c r="A266" s="18" t="n">
        <v>46574</v>
      </c>
      <c r="B266" s="17" t="s">
        <v>208</v>
      </c>
      <c r="C266" s="17" t="s">
        <v>140</v>
      </c>
      <c r="D266" s="17" t="s">
        <v>142</v>
      </c>
      <c r="E266" s="17" t="s">
        <v>142</v>
      </c>
      <c r="F266" s="17" t="s">
        <v>146</v>
      </c>
      <c r="G266" s="17" t="s">
        <v>160</v>
      </c>
      <c r="H266" s="17" t="s">
        <v>192</v>
      </c>
    </row>
    <row r="267" customFormat="false" ht="15" hidden="false" customHeight="false" outlineLevel="0" collapsed="false">
      <c r="A267" s="18" t="n">
        <v>46575</v>
      </c>
      <c r="B267" s="17" t="s">
        <v>209</v>
      </c>
      <c r="C267" s="17" t="s">
        <v>140</v>
      </c>
      <c r="D267" s="17" t="s">
        <v>143</v>
      </c>
      <c r="E267" s="17" t="s">
        <v>142</v>
      </c>
      <c r="F267" s="17" t="s">
        <v>146</v>
      </c>
      <c r="G267" s="17" t="s">
        <v>160</v>
      </c>
      <c r="H267" s="17" t="s">
        <v>194</v>
      </c>
    </row>
    <row r="268" customFormat="false" ht="15" hidden="false" customHeight="false" outlineLevel="0" collapsed="false">
      <c r="A268" s="18" t="n">
        <v>46576</v>
      </c>
      <c r="B268" s="17" t="s">
        <v>203</v>
      </c>
      <c r="C268" s="17" t="s">
        <v>140</v>
      </c>
      <c r="D268" s="17" t="s">
        <v>143</v>
      </c>
      <c r="E268" s="17" t="s">
        <v>142</v>
      </c>
      <c r="F268" s="17" t="s">
        <v>146</v>
      </c>
      <c r="G268" s="17" t="s">
        <v>160</v>
      </c>
      <c r="H268" s="17" t="s">
        <v>195</v>
      </c>
    </row>
    <row r="269" customFormat="false" ht="15" hidden="false" customHeight="false" outlineLevel="0" collapsed="false">
      <c r="A269" s="18" t="n">
        <v>46577</v>
      </c>
      <c r="B269" s="17" t="s">
        <v>204</v>
      </c>
      <c r="C269" s="17" t="s">
        <v>140</v>
      </c>
      <c r="D269" s="17" t="s">
        <v>143</v>
      </c>
      <c r="E269" s="17" t="s">
        <v>142</v>
      </c>
      <c r="F269" s="17" t="s">
        <v>146</v>
      </c>
      <c r="G269" s="17" t="s">
        <v>160</v>
      </c>
      <c r="H269" s="17" t="s">
        <v>196</v>
      </c>
    </row>
    <row r="270" customFormat="false" ht="15" hidden="false" customHeight="false" outlineLevel="0" collapsed="false">
      <c r="A270" s="18" t="n">
        <v>46578</v>
      </c>
      <c r="B270" s="17" t="s">
        <v>205</v>
      </c>
      <c r="C270" s="17" t="s">
        <v>140</v>
      </c>
      <c r="D270" s="17" t="s">
        <v>143</v>
      </c>
      <c r="E270" s="17" t="s">
        <v>142</v>
      </c>
      <c r="F270" s="17" t="s">
        <v>146</v>
      </c>
      <c r="G270" s="17" t="s">
        <v>160</v>
      </c>
      <c r="H270" s="17" t="s">
        <v>197</v>
      </c>
    </row>
    <row r="271" customFormat="false" ht="15" hidden="false" customHeight="false" outlineLevel="0" collapsed="false">
      <c r="A271" s="18" t="n">
        <v>46579</v>
      </c>
      <c r="B271" s="17" t="s">
        <v>206</v>
      </c>
      <c r="C271" s="17" t="s">
        <v>140</v>
      </c>
      <c r="D271" s="17" t="s">
        <v>143</v>
      </c>
      <c r="E271" s="17" t="s">
        <v>142</v>
      </c>
      <c r="F271" s="17" t="s">
        <v>146</v>
      </c>
      <c r="G271" s="17" t="s">
        <v>160</v>
      </c>
      <c r="H271" s="17" t="s">
        <v>198</v>
      </c>
    </row>
    <row r="272" customFormat="false" ht="15" hidden="false" customHeight="false" outlineLevel="0" collapsed="false">
      <c r="A272" s="18" t="n">
        <v>46580</v>
      </c>
      <c r="B272" s="17" t="s">
        <v>207</v>
      </c>
      <c r="C272" s="17" t="s">
        <v>140</v>
      </c>
      <c r="D272" s="17" t="s">
        <v>143</v>
      </c>
      <c r="E272" s="17" t="s">
        <v>142</v>
      </c>
      <c r="F272" s="17" t="s">
        <v>146</v>
      </c>
      <c r="G272" s="17" t="s">
        <v>160</v>
      </c>
      <c r="H272" s="17" t="s">
        <v>199</v>
      </c>
    </row>
    <row r="273" customFormat="false" ht="15" hidden="false" customHeight="false" outlineLevel="0" collapsed="false">
      <c r="A273" s="18" t="n">
        <v>46581</v>
      </c>
      <c r="B273" s="17" t="s">
        <v>208</v>
      </c>
      <c r="C273" s="17" t="s">
        <v>140</v>
      </c>
      <c r="D273" s="17" t="s">
        <v>143</v>
      </c>
      <c r="E273" s="17" t="s">
        <v>142</v>
      </c>
      <c r="F273" s="17" t="s">
        <v>146</v>
      </c>
      <c r="G273" s="17" t="s">
        <v>160</v>
      </c>
      <c r="H273" s="17" t="s">
        <v>171</v>
      </c>
    </row>
    <row r="274" customFormat="false" ht="15" hidden="false" customHeight="false" outlineLevel="0" collapsed="false">
      <c r="A274" s="18" t="n">
        <v>46582</v>
      </c>
      <c r="B274" s="17" t="s">
        <v>209</v>
      </c>
      <c r="C274" s="17" t="s">
        <v>140</v>
      </c>
      <c r="D274" s="17" t="s">
        <v>143</v>
      </c>
      <c r="E274" s="17" t="s">
        <v>142</v>
      </c>
      <c r="F274" s="17" t="s">
        <v>146</v>
      </c>
      <c r="G274" s="17" t="s">
        <v>160</v>
      </c>
      <c r="H274" s="17" t="s">
        <v>172</v>
      </c>
    </row>
    <row r="275" customFormat="false" ht="15" hidden="false" customHeight="false" outlineLevel="0" collapsed="false">
      <c r="A275" s="18" t="n">
        <v>46583</v>
      </c>
      <c r="B275" s="17" t="s">
        <v>203</v>
      </c>
      <c r="C275" s="17" t="s">
        <v>140</v>
      </c>
      <c r="D275" s="17" t="s">
        <v>143</v>
      </c>
      <c r="E275" s="17" t="s">
        <v>142</v>
      </c>
      <c r="F275" s="17" t="s">
        <v>146</v>
      </c>
      <c r="G275" s="17" t="s">
        <v>160</v>
      </c>
      <c r="H275" s="17" t="s">
        <v>173</v>
      </c>
    </row>
    <row r="276" customFormat="false" ht="15" hidden="false" customHeight="false" outlineLevel="0" collapsed="false">
      <c r="A276" s="18" t="n">
        <v>46584</v>
      </c>
      <c r="B276" s="17" t="s">
        <v>204</v>
      </c>
      <c r="C276" s="17" t="s">
        <v>140</v>
      </c>
      <c r="D276" s="17" t="s">
        <v>143</v>
      </c>
      <c r="E276" s="17" t="s">
        <v>142</v>
      </c>
      <c r="F276" s="17" t="s">
        <v>146</v>
      </c>
      <c r="G276" s="17" t="s">
        <v>160</v>
      </c>
      <c r="H276" s="17" t="s">
        <v>174</v>
      </c>
    </row>
    <row r="277" customFormat="false" ht="15" hidden="false" customHeight="false" outlineLevel="0" collapsed="false">
      <c r="A277" s="18" t="n">
        <v>46585</v>
      </c>
      <c r="B277" s="17" t="s">
        <v>205</v>
      </c>
      <c r="C277" s="17" t="s">
        <v>140</v>
      </c>
      <c r="D277" s="17" t="s">
        <v>143</v>
      </c>
      <c r="E277" s="17" t="s">
        <v>142</v>
      </c>
      <c r="F277" s="17" t="s">
        <v>146</v>
      </c>
      <c r="G277" s="17" t="s">
        <v>160</v>
      </c>
      <c r="H277" s="17" t="s">
        <v>175</v>
      </c>
    </row>
    <row r="278" customFormat="false" ht="15" hidden="false" customHeight="false" outlineLevel="0" collapsed="false">
      <c r="A278" s="18" t="n">
        <v>46586</v>
      </c>
      <c r="B278" s="17" t="s">
        <v>206</v>
      </c>
      <c r="C278" s="17" t="s">
        <v>140</v>
      </c>
      <c r="D278" s="17" t="s">
        <v>143</v>
      </c>
      <c r="E278" s="17" t="s">
        <v>142</v>
      </c>
      <c r="F278" s="17" t="s">
        <v>146</v>
      </c>
      <c r="G278" s="17" t="s">
        <v>160</v>
      </c>
      <c r="H278" s="17" t="s">
        <v>176</v>
      </c>
    </row>
    <row r="279" customFormat="false" ht="15" hidden="false" customHeight="false" outlineLevel="0" collapsed="false">
      <c r="A279" s="18" t="n">
        <v>46587</v>
      </c>
      <c r="B279" s="17" t="s">
        <v>207</v>
      </c>
      <c r="C279" s="17" t="s">
        <v>140</v>
      </c>
      <c r="D279" s="17" t="s">
        <v>143</v>
      </c>
      <c r="E279" s="17" t="s">
        <v>142</v>
      </c>
      <c r="F279" s="17" t="s">
        <v>146</v>
      </c>
      <c r="G279" s="17" t="s">
        <v>160</v>
      </c>
      <c r="H279" s="17" t="s">
        <v>177</v>
      </c>
    </row>
    <row r="280" customFormat="false" ht="15" hidden="false" customHeight="false" outlineLevel="0" collapsed="false">
      <c r="A280" s="18" t="n">
        <v>46588</v>
      </c>
      <c r="B280" s="17" t="s">
        <v>208</v>
      </c>
      <c r="C280" s="17" t="s">
        <v>140</v>
      </c>
      <c r="D280" s="17" t="s">
        <v>143</v>
      </c>
      <c r="E280" s="17" t="s">
        <v>142</v>
      </c>
      <c r="F280" s="17" t="s">
        <v>146</v>
      </c>
      <c r="G280" s="17" t="s">
        <v>160</v>
      </c>
      <c r="H280" s="17" t="s">
        <v>178</v>
      </c>
    </row>
    <row r="281" customFormat="false" ht="15" hidden="false" customHeight="false" outlineLevel="0" collapsed="false">
      <c r="A281" s="18" t="n">
        <v>46589</v>
      </c>
      <c r="B281" s="17" t="s">
        <v>209</v>
      </c>
      <c r="C281" s="17" t="s">
        <v>140</v>
      </c>
      <c r="D281" s="17" t="s">
        <v>143</v>
      </c>
      <c r="E281" s="17" t="s">
        <v>142</v>
      </c>
      <c r="F281" s="17" t="s">
        <v>146</v>
      </c>
      <c r="G281" s="17" t="s">
        <v>160</v>
      </c>
      <c r="H281" s="17" t="s">
        <v>179</v>
      </c>
    </row>
    <row r="282" customFormat="false" ht="15" hidden="false" customHeight="false" outlineLevel="0" collapsed="false">
      <c r="A282" s="18" t="n">
        <v>46590</v>
      </c>
      <c r="B282" s="17" t="s">
        <v>203</v>
      </c>
      <c r="C282" s="17" t="s">
        <v>140</v>
      </c>
      <c r="D282" s="17" t="s">
        <v>143</v>
      </c>
      <c r="E282" s="17" t="s">
        <v>142</v>
      </c>
      <c r="F282" s="17" t="s">
        <v>146</v>
      </c>
      <c r="G282" s="17" t="s">
        <v>160</v>
      </c>
      <c r="H282" s="17" t="s">
        <v>180</v>
      </c>
    </row>
    <row r="283" customFormat="false" ht="15" hidden="false" customHeight="false" outlineLevel="0" collapsed="false">
      <c r="A283" s="18" t="n">
        <v>46591</v>
      </c>
      <c r="B283" s="17" t="s">
        <v>204</v>
      </c>
      <c r="C283" s="17" t="s">
        <v>140</v>
      </c>
      <c r="D283" s="17" t="s">
        <v>143</v>
      </c>
      <c r="E283" s="17" t="s">
        <v>142</v>
      </c>
      <c r="F283" s="17" t="s">
        <v>146</v>
      </c>
      <c r="G283" s="17" t="s">
        <v>160</v>
      </c>
      <c r="H283" s="17" t="s">
        <v>182</v>
      </c>
    </row>
    <row r="284" customFormat="false" ht="15" hidden="false" customHeight="false" outlineLevel="0" collapsed="false">
      <c r="A284" s="18" t="n">
        <v>46592</v>
      </c>
      <c r="B284" s="17" t="s">
        <v>205</v>
      </c>
      <c r="C284" s="17" t="s">
        <v>140</v>
      </c>
      <c r="D284" s="17" t="s">
        <v>143</v>
      </c>
      <c r="E284" s="17" t="s">
        <v>142</v>
      </c>
      <c r="F284" s="17" t="s">
        <v>146</v>
      </c>
      <c r="G284" s="17" t="s">
        <v>160</v>
      </c>
      <c r="H284" s="17" t="s">
        <v>183</v>
      </c>
    </row>
    <row r="285" customFormat="false" ht="15" hidden="false" customHeight="false" outlineLevel="0" collapsed="false">
      <c r="A285" s="18" t="n">
        <v>46593</v>
      </c>
      <c r="B285" s="17" t="s">
        <v>206</v>
      </c>
      <c r="C285" s="17" t="s">
        <v>140</v>
      </c>
      <c r="D285" s="17" t="s">
        <v>143</v>
      </c>
      <c r="E285" s="17" t="s">
        <v>142</v>
      </c>
      <c r="F285" s="17" t="s">
        <v>146</v>
      </c>
      <c r="G285" s="17" t="s">
        <v>160</v>
      </c>
      <c r="H285" s="17" t="s">
        <v>184</v>
      </c>
    </row>
    <row r="286" customFormat="false" ht="15" hidden="false" customHeight="false" outlineLevel="0" collapsed="false">
      <c r="A286" s="18" t="n">
        <v>46594</v>
      </c>
      <c r="B286" s="17" t="s">
        <v>207</v>
      </c>
      <c r="C286" s="17" t="s">
        <v>140</v>
      </c>
      <c r="D286" s="17" t="s">
        <v>143</v>
      </c>
      <c r="E286" s="17" t="s">
        <v>142</v>
      </c>
      <c r="F286" s="17" t="s">
        <v>146</v>
      </c>
      <c r="G286" s="17" t="s">
        <v>160</v>
      </c>
      <c r="H286" s="17" t="s">
        <v>185</v>
      </c>
    </row>
    <row r="287" customFormat="false" ht="15" hidden="false" customHeight="false" outlineLevel="0" collapsed="false">
      <c r="A287" s="18" t="n">
        <v>46595</v>
      </c>
      <c r="B287" s="17" t="s">
        <v>208</v>
      </c>
      <c r="C287" s="17" t="s">
        <v>140</v>
      </c>
      <c r="D287" s="17" t="s">
        <v>143</v>
      </c>
      <c r="E287" s="17" t="s">
        <v>142</v>
      </c>
      <c r="F287" s="17" t="s">
        <v>146</v>
      </c>
      <c r="G287" s="17" t="s">
        <v>160</v>
      </c>
      <c r="H287" s="17" t="s">
        <v>186</v>
      </c>
    </row>
    <row r="288" customFormat="false" ht="15" hidden="false" customHeight="false" outlineLevel="0" collapsed="false">
      <c r="A288" s="18" t="n">
        <v>46596</v>
      </c>
      <c r="B288" s="17" t="s">
        <v>209</v>
      </c>
      <c r="C288" s="17" t="s">
        <v>140</v>
      </c>
      <c r="D288" s="17" t="s">
        <v>143</v>
      </c>
      <c r="E288" s="17" t="s">
        <v>142</v>
      </c>
      <c r="F288" s="17" t="s">
        <v>146</v>
      </c>
      <c r="G288" s="17" t="s">
        <v>160</v>
      </c>
      <c r="H288" s="17" t="s">
        <v>187</v>
      </c>
    </row>
    <row r="289" customFormat="false" ht="15" hidden="false" customHeight="false" outlineLevel="0" collapsed="false">
      <c r="A289" s="18" t="n">
        <v>46597</v>
      </c>
      <c r="B289" s="17" t="s">
        <v>203</v>
      </c>
      <c r="C289" s="17" t="s">
        <v>140</v>
      </c>
      <c r="D289" s="17" t="s">
        <v>143</v>
      </c>
      <c r="E289" s="17" t="s">
        <v>142</v>
      </c>
      <c r="F289" s="17" t="s">
        <v>146</v>
      </c>
      <c r="G289" s="17" t="s">
        <v>160</v>
      </c>
      <c r="H289" s="17" t="s">
        <v>188</v>
      </c>
    </row>
    <row r="290" customFormat="false" ht="15" hidden="false" customHeight="false" outlineLevel="0" collapsed="false">
      <c r="A290" s="18" t="n">
        <v>46598</v>
      </c>
      <c r="B290" s="17" t="s">
        <v>204</v>
      </c>
      <c r="C290" s="17" t="s">
        <v>140</v>
      </c>
      <c r="D290" s="17" t="s">
        <v>143</v>
      </c>
      <c r="E290" s="17" t="s">
        <v>142</v>
      </c>
      <c r="F290" s="17" t="s">
        <v>146</v>
      </c>
      <c r="G290" s="17" t="s">
        <v>160</v>
      </c>
      <c r="H290" s="17" t="s">
        <v>189</v>
      </c>
    </row>
    <row r="291" customFormat="false" ht="15" hidden="false" customHeight="false" outlineLevel="0" collapsed="false">
      <c r="A291" s="18" t="n">
        <v>46599</v>
      </c>
      <c r="B291" s="17" t="s">
        <v>205</v>
      </c>
      <c r="C291" s="17" t="s">
        <v>140</v>
      </c>
      <c r="D291" s="17" t="s">
        <v>143</v>
      </c>
      <c r="E291" s="17" t="s">
        <v>142</v>
      </c>
      <c r="F291" s="17" t="s">
        <v>146</v>
      </c>
      <c r="G291" s="17" t="s">
        <v>160</v>
      </c>
      <c r="H291" s="17" t="s">
        <v>190</v>
      </c>
    </row>
    <row r="292" customFormat="false" ht="15" hidden="false" customHeight="false" outlineLevel="0" collapsed="false">
      <c r="A292" s="18" t="n">
        <v>46600</v>
      </c>
      <c r="B292" s="17" t="s">
        <v>206</v>
      </c>
      <c r="C292" s="17" t="s">
        <v>140</v>
      </c>
      <c r="D292" s="17" t="s">
        <v>143</v>
      </c>
      <c r="E292" s="17" t="s">
        <v>142</v>
      </c>
      <c r="F292" s="17" t="s">
        <v>146</v>
      </c>
      <c r="G292" s="17" t="s">
        <v>160</v>
      </c>
      <c r="H292" s="17" t="s">
        <v>191</v>
      </c>
    </row>
    <row r="293" customFormat="false" ht="15" hidden="false" customHeight="false" outlineLevel="0" collapsed="false">
      <c r="A293" s="18" t="n">
        <v>46601</v>
      </c>
      <c r="B293" s="17" t="s">
        <v>207</v>
      </c>
      <c r="C293" s="17" t="s">
        <v>140</v>
      </c>
      <c r="D293" s="17" t="s">
        <v>143</v>
      </c>
      <c r="E293" s="17" t="s">
        <v>142</v>
      </c>
      <c r="F293" s="17" t="s">
        <v>156</v>
      </c>
      <c r="G293" s="17" t="s">
        <v>160</v>
      </c>
      <c r="H293" s="17" t="s">
        <v>170</v>
      </c>
    </row>
    <row r="294" customFormat="false" ht="15" hidden="false" customHeight="false" outlineLevel="0" collapsed="false">
      <c r="A294" s="18" t="n">
        <v>46602</v>
      </c>
      <c r="B294" s="17" t="s">
        <v>208</v>
      </c>
      <c r="C294" s="17" t="s">
        <v>140</v>
      </c>
      <c r="D294" s="17" t="s">
        <v>143</v>
      </c>
      <c r="E294" s="17" t="s">
        <v>142</v>
      </c>
      <c r="F294" s="17" t="s">
        <v>156</v>
      </c>
      <c r="G294" s="17" t="s">
        <v>160</v>
      </c>
      <c r="H294" s="17" t="s">
        <v>181</v>
      </c>
    </row>
    <row r="295" customFormat="false" ht="15" hidden="false" customHeight="false" outlineLevel="0" collapsed="false">
      <c r="A295" s="18" t="n">
        <v>46603</v>
      </c>
      <c r="B295" s="17" t="s">
        <v>209</v>
      </c>
      <c r="C295" s="17" t="s">
        <v>140</v>
      </c>
      <c r="D295" s="17" t="s">
        <v>143</v>
      </c>
      <c r="E295" s="17" t="s">
        <v>142</v>
      </c>
      <c r="F295" s="17" t="s">
        <v>156</v>
      </c>
      <c r="G295" s="17" t="s">
        <v>160</v>
      </c>
      <c r="H295" s="17" t="s">
        <v>192</v>
      </c>
    </row>
    <row r="296" customFormat="false" ht="15" hidden="false" customHeight="false" outlineLevel="0" collapsed="false">
      <c r="A296" s="18" t="n">
        <v>46604</v>
      </c>
      <c r="B296" s="17" t="s">
        <v>203</v>
      </c>
      <c r="C296" s="17" t="s">
        <v>140</v>
      </c>
      <c r="D296" s="17" t="s">
        <v>143</v>
      </c>
      <c r="E296" s="17" t="s">
        <v>142</v>
      </c>
      <c r="F296" s="17" t="s">
        <v>156</v>
      </c>
      <c r="G296" s="17" t="s">
        <v>160</v>
      </c>
      <c r="H296" s="17" t="s">
        <v>194</v>
      </c>
    </row>
    <row r="297" customFormat="false" ht="15" hidden="false" customHeight="false" outlineLevel="0" collapsed="false">
      <c r="A297" s="18" t="n">
        <v>46605</v>
      </c>
      <c r="B297" s="17" t="s">
        <v>204</v>
      </c>
      <c r="C297" s="17" t="s">
        <v>140</v>
      </c>
      <c r="D297" s="17" t="s">
        <v>143</v>
      </c>
      <c r="E297" s="17" t="s">
        <v>142</v>
      </c>
      <c r="F297" s="17" t="s">
        <v>156</v>
      </c>
      <c r="G297" s="17" t="s">
        <v>160</v>
      </c>
      <c r="H297" s="17" t="s">
        <v>195</v>
      </c>
    </row>
    <row r="298" customFormat="false" ht="15" hidden="false" customHeight="false" outlineLevel="0" collapsed="false">
      <c r="A298" s="18" t="n">
        <v>46606</v>
      </c>
      <c r="B298" s="17" t="s">
        <v>205</v>
      </c>
      <c r="C298" s="17" t="s">
        <v>140</v>
      </c>
      <c r="D298" s="17" t="s">
        <v>143</v>
      </c>
      <c r="E298" s="17" t="s">
        <v>142</v>
      </c>
      <c r="F298" s="17" t="s">
        <v>156</v>
      </c>
      <c r="G298" s="17" t="s">
        <v>160</v>
      </c>
      <c r="H298" s="17" t="s">
        <v>196</v>
      </c>
    </row>
    <row r="299" customFormat="false" ht="15" hidden="false" customHeight="false" outlineLevel="0" collapsed="false">
      <c r="A299" s="18" t="n">
        <v>46607</v>
      </c>
      <c r="B299" s="17" t="s">
        <v>206</v>
      </c>
      <c r="C299" s="17" t="s">
        <v>140</v>
      </c>
      <c r="D299" s="17" t="s">
        <v>143</v>
      </c>
      <c r="E299" s="17" t="s">
        <v>142</v>
      </c>
      <c r="F299" s="17" t="s">
        <v>156</v>
      </c>
      <c r="G299" s="17" t="s">
        <v>160</v>
      </c>
      <c r="H299" s="17" t="s">
        <v>197</v>
      </c>
    </row>
    <row r="300" customFormat="false" ht="15" hidden="false" customHeight="false" outlineLevel="0" collapsed="false">
      <c r="A300" s="18" t="n">
        <v>46608</v>
      </c>
      <c r="B300" s="17" t="s">
        <v>207</v>
      </c>
      <c r="C300" s="17" t="s">
        <v>140</v>
      </c>
      <c r="D300" s="17" t="s">
        <v>143</v>
      </c>
      <c r="E300" s="17" t="s">
        <v>142</v>
      </c>
      <c r="F300" s="17" t="s">
        <v>156</v>
      </c>
      <c r="G300" s="17" t="s">
        <v>160</v>
      </c>
      <c r="H300" s="17" t="s">
        <v>198</v>
      </c>
    </row>
    <row r="301" customFormat="false" ht="15" hidden="false" customHeight="false" outlineLevel="0" collapsed="false">
      <c r="A301" s="18" t="n">
        <v>46609</v>
      </c>
      <c r="B301" s="17" t="s">
        <v>208</v>
      </c>
      <c r="C301" s="17" t="s">
        <v>140</v>
      </c>
      <c r="D301" s="17" t="s">
        <v>143</v>
      </c>
      <c r="E301" s="17" t="s">
        <v>142</v>
      </c>
      <c r="F301" s="17" t="s">
        <v>156</v>
      </c>
      <c r="G301" s="17" t="s">
        <v>160</v>
      </c>
      <c r="H301" s="17" t="s">
        <v>199</v>
      </c>
    </row>
    <row r="302" customFormat="false" ht="15" hidden="false" customHeight="false" outlineLevel="0" collapsed="false">
      <c r="A302" s="18" t="n">
        <v>46610</v>
      </c>
      <c r="B302" s="17" t="s">
        <v>209</v>
      </c>
      <c r="C302" s="17" t="s">
        <v>140</v>
      </c>
      <c r="D302" s="17" t="s">
        <v>143</v>
      </c>
      <c r="E302" s="17" t="s">
        <v>142</v>
      </c>
      <c r="F302" s="17" t="s">
        <v>156</v>
      </c>
      <c r="G302" s="17" t="s">
        <v>160</v>
      </c>
      <c r="H302" s="17" t="s">
        <v>171</v>
      </c>
    </row>
    <row r="303" customFormat="false" ht="15" hidden="false" customHeight="false" outlineLevel="0" collapsed="false">
      <c r="A303" s="18" t="n">
        <v>46611</v>
      </c>
      <c r="B303" s="17" t="s">
        <v>203</v>
      </c>
      <c r="C303" s="17" t="s">
        <v>140</v>
      </c>
      <c r="D303" s="17" t="s">
        <v>143</v>
      </c>
      <c r="E303" s="17" t="s">
        <v>142</v>
      </c>
      <c r="F303" s="17" t="s">
        <v>156</v>
      </c>
      <c r="G303" s="17" t="s">
        <v>160</v>
      </c>
      <c r="H303" s="17" t="s">
        <v>172</v>
      </c>
    </row>
    <row r="304" customFormat="false" ht="15" hidden="false" customHeight="false" outlineLevel="0" collapsed="false">
      <c r="A304" s="18" t="n">
        <v>46612</v>
      </c>
      <c r="B304" s="17" t="s">
        <v>204</v>
      </c>
      <c r="C304" s="17" t="s">
        <v>140</v>
      </c>
      <c r="D304" s="17" t="s">
        <v>143</v>
      </c>
      <c r="E304" s="17" t="s">
        <v>142</v>
      </c>
      <c r="F304" s="17" t="s">
        <v>156</v>
      </c>
      <c r="G304" s="17" t="s">
        <v>160</v>
      </c>
      <c r="H304" s="17" t="s">
        <v>173</v>
      </c>
    </row>
    <row r="305" customFormat="false" ht="15" hidden="false" customHeight="false" outlineLevel="0" collapsed="false">
      <c r="A305" s="18" t="n">
        <v>46613</v>
      </c>
      <c r="B305" s="17" t="s">
        <v>205</v>
      </c>
      <c r="C305" s="17" t="s">
        <v>140</v>
      </c>
      <c r="D305" s="17" t="s">
        <v>143</v>
      </c>
      <c r="E305" s="17" t="s">
        <v>142</v>
      </c>
      <c r="F305" s="17" t="s">
        <v>156</v>
      </c>
      <c r="G305" s="17" t="s">
        <v>160</v>
      </c>
      <c r="H305" s="17" t="s">
        <v>174</v>
      </c>
    </row>
    <row r="306" customFormat="false" ht="15" hidden="false" customHeight="false" outlineLevel="0" collapsed="false">
      <c r="A306" s="18" t="n">
        <v>46614</v>
      </c>
      <c r="B306" s="17" t="s">
        <v>206</v>
      </c>
      <c r="C306" s="17" t="s">
        <v>140</v>
      </c>
      <c r="D306" s="17" t="s">
        <v>143</v>
      </c>
      <c r="E306" s="17" t="s">
        <v>142</v>
      </c>
      <c r="F306" s="17" t="s">
        <v>156</v>
      </c>
      <c r="G306" s="17" t="s">
        <v>160</v>
      </c>
      <c r="H306" s="17" t="s">
        <v>175</v>
      </c>
    </row>
    <row r="307" customFormat="false" ht="15" hidden="false" customHeight="false" outlineLevel="0" collapsed="false">
      <c r="A307" s="18" t="n">
        <v>46615</v>
      </c>
      <c r="B307" s="17" t="s">
        <v>207</v>
      </c>
      <c r="C307" s="17" t="s">
        <v>140</v>
      </c>
      <c r="D307" s="17" t="s">
        <v>143</v>
      </c>
      <c r="E307" s="17" t="s">
        <v>142</v>
      </c>
      <c r="F307" s="17" t="s">
        <v>156</v>
      </c>
      <c r="G307" s="17" t="s">
        <v>160</v>
      </c>
      <c r="H307" s="17" t="s">
        <v>176</v>
      </c>
    </row>
    <row r="308" customFormat="false" ht="15" hidden="false" customHeight="false" outlineLevel="0" collapsed="false">
      <c r="A308" s="18" t="n">
        <v>46616</v>
      </c>
      <c r="B308" s="17" t="s">
        <v>208</v>
      </c>
      <c r="C308" s="17" t="s">
        <v>140</v>
      </c>
      <c r="D308" s="17" t="s">
        <v>143</v>
      </c>
      <c r="E308" s="17" t="s">
        <v>143</v>
      </c>
      <c r="F308" s="17" t="s">
        <v>156</v>
      </c>
      <c r="G308" s="17" t="s">
        <v>160</v>
      </c>
      <c r="H308" s="17" t="s">
        <v>177</v>
      </c>
    </row>
    <row r="309" customFormat="false" ht="15" hidden="false" customHeight="false" outlineLevel="0" collapsed="false">
      <c r="A309" s="18" t="n">
        <v>46617</v>
      </c>
      <c r="B309" s="17" t="s">
        <v>209</v>
      </c>
      <c r="C309" s="17" t="s">
        <v>140</v>
      </c>
      <c r="D309" s="17" t="s">
        <v>143</v>
      </c>
      <c r="E309" s="17" t="s">
        <v>143</v>
      </c>
      <c r="F309" s="17" t="s">
        <v>156</v>
      </c>
      <c r="G309" s="17" t="s">
        <v>160</v>
      </c>
      <c r="H309" s="17" t="s">
        <v>178</v>
      </c>
    </row>
    <row r="310" customFormat="false" ht="15" hidden="false" customHeight="false" outlineLevel="0" collapsed="false">
      <c r="A310" s="18" t="n">
        <v>46618</v>
      </c>
      <c r="B310" s="17" t="s">
        <v>203</v>
      </c>
      <c r="C310" s="17" t="s">
        <v>140</v>
      </c>
      <c r="D310" s="17" t="s">
        <v>143</v>
      </c>
      <c r="E310" s="17" t="s">
        <v>143</v>
      </c>
      <c r="F310" s="17" t="s">
        <v>156</v>
      </c>
      <c r="G310" s="17" t="s">
        <v>160</v>
      </c>
      <c r="H310" s="17" t="s">
        <v>179</v>
      </c>
    </row>
    <row r="311" customFormat="false" ht="15" hidden="false" customHeight="false" outlineLevel="0" collapsed="false">
      <c r="A311" s="18" t="n">
        <v>46619</v>
      </c>
      <c r="B311" s="17" t="s">
        <v>204</v>
      </c>
      <c r="C311" s="17" t="s">
        <v>140</v>
      </c>
      <c r="D311" s="17" t="s">
        <v>143</v>
      </c>
      <c r="E311" s="17" t="s">
        <v>143</v>
      </c>
      <c r="F311" s="17" t="s">
        <v>156</v>
      </c>
      <c r="G311" s="17" t="s">
        <v>160</v>
      </c>
      <c r="H311" s="17" t="s">
        <v>180</v>
      </c>
    </row>
    <row r="312" customFormat="false" ht="15" hidden="false" customHeight="false" outlineLevel="0" collapsed="false">
      <c r="A312" s="18" t="n">
        <v>46620</v>
      </c>
      <c r="B312" s="17" t="s">
        <v>205</v>
      </c>
      <c r="C312" s="17" t="s">
        <v>140</v>
      </c>
      <c r="D312" s="17" t="s">
        <v>143</v>
      </c>
      <c r="E312" s="17" t="s">
        <v>143</v>
      </c>
      <c r="F312" s="17" t="s">
        <v>156</v>
      </c>
      <c r="G312" s="17" t="s">
        <v>160</v>
      </c>
      <c r="H312" s="17" t="s">
        <v>182</v>
      </c>
    </row>
    <row r="313" customFormat="false" ht="15" hidden="false" customHeight="false" outlineLevel="0" collapsed="false">
      <c r="A313" s="18" t="n">
        <v>46621</v>
      </c>
      <c r="B313" s="17" t="s">
        <v>206</v>
      </c>
      <c r="C313" s="17" t="s">
        <v>140</v>
      </c>
      <c r="D313" s="17" t="s">
        <v>143</v>
      </c>
      <c r="E313" s="17" t="s">
        <v>143</v>
      </c>
      <c r="F313" s="17" t="s">
        <v>156</v>
      </c>
      <c r="G313" s="17" t="s">
        <v>160</v>
      </c>
      <c r="H313" s="17" t="s">
        <v>183</v>
      </c>
    </row>
    <row r="314" customFormat="false" ht="15" hidden="false" customHeight="false" outlineLevel="0" collapsed="false">
      <c r="A314" s="18" t="n">
        <v>46622</v>
      </c>
      <c r="B314" s="17" t="s">
        <v>207</v>
      </c>
      <c r="C314" s="17" t="s">
        <v>140</v>
      </c>
      <c r="D314" s="17" t="s">
        <v>143</v>
      </c>
      <c r="E314" s="17" t="s">
        <v>143</v>
      </c>
      <c r="F314" s="17" t="s">
        <v>156</v>
      </c>
      <c r="G314" s="17" t="s">
        <v>160</v>
      </c>
      <c r="H314" s="17" t="s">
        <v>184</v>
      </c>
    </row>
    <row r="315" customFormat="false" ht="15" hidden="false" customHeight="false" outlineLevel="0" collapsed="false">
      <c r="A315" s="18" t="n">
        <v>46623</v>
      </c>
      <c r="B315" s="17" t="s">
        <v>208</v>
      </c>
      <c r="C315" s="17" t="s">
        <v>140</v>
      </c>
      <c r="D315" s="17" t="s">
        <v>143</v>
      </c>
      <c r="E315" s="17" t="s">
        <v>143</v>
      </c>
      <c r="F315" s="17" t="s">
        <v>156</v>
      </c>
      <c r="G315" s="17" t="s">
        <v>160</v>
      </c>
      <c r="H315" s="17" t="s">
        <v>185</v>
      </c>
    </row>
    <row r="316" customFormat="false" ht="15" hidden="false" customHeight="false" outlineLevel="0" collapsed="false">
      <c r="A316" s="18" t="n">
        <v>46624</v>
      </c>
      <c r="B316" s="17" t="s">
        <v>209</v>
      </c>
      <c r="C316" s="17" t="s">
        <v>140</v>
      </c>
      <c r="D316" s="17" t="s">
        <v>143</v>
      </c>
      <c r="E316" s="17" t="s">
        <v>143</v>
      </c>
      <c r="F316" s="17" t="s">
        <v>156</v>
      </c>
      <c r="G316" s="17" t="s">
        <v>160</v>
      </c>
      <c r="H316" s="17" t="s">
        <v>186</v>
      </c>
    </row>
    <row r="317" customFormat="false" ht="15" hidden="false" customHeight="false" outlineLevel="0" collapsed="false">
      <c r="A317" s="18" t="n">
        <v>46625</v>
      </c>
      <c r="B317" s="17" t="s">
        <v>203</v>
      </c>
      <c r="C317" s="17" t="s">
        <v>140</v>
      </c>
      <c r="D317" s="17" t="s">
        <v>143</v>
      </c>
      <c r="E317" s="17" t="s">
        <v>143</v>
      </c>
      <c r="F317" s="17" t="s">
        <v>156</v>
      </c>
      <c r="G317" s="17" t="s">
        <v>160</v>
      </c>
      <c r="H317" s="17" t="s">
        <v>187</v>
      </c>
    </row>
    <row r="318" customFormat="false" ht="15" hidden="false" customHeight="false" outlineLevel="0" collapsed="false">
      <c r="A318" s="18" t="n">
        <v>46626</v>
      </c>
      <c r="B318" s="17" t="s">
        <v>204</v>
      </c>
      <c r="C318" s="17" t="s">
        <v>140</v>
      </c>
      <c r="D318" s="17" t="s">
        <v>143</v>
      </c>
      <c r="E318" s="17" t="s">
        <v>143</v>
      </c>
      <c r="F318" s="17" t="s">
        <v>156</v>
      </c>
      <c r="G318" s="17" t="s">
        <v>160</v>
      </c>
      <c r="H318" s="17" t="s">
        <v>188</v>
      </c>
    </row>
    <row r="319" customFormat="false" ht="15" hidden="false" customHeight="false" outlineLevel="0" collapsed="false">
      <c r="A319" s="18" t="n">
        <v>46627</v>
      </c>
      <c r="B319" s="17" t="s">
        <v>205</v>
      </c>
      <c r="C319" s="17" t="s">
        <v>140</v>
      </c>
      <c r="D319" s="17" t="s">
        <v>143</v>
      </c>
      <c r="E319" s="17" t="s">
        <v>143</v>
      </c>
      <c r="F319" s="17" t="s">
        <v>156</v>
      </c>
      <c r="G319" s="17" t="s">
        <v>160</v>
      </c>
      <c r="H319" s="17" t="s">
        <v>189</v>
      </c>
    </row>
    <row r="320" customFormat="false" ht="15" hidden="false" customHeight="false" outlineLevel="0" collapsed="false">
      <c r="A320" s="18" t="n">
        <v>46628</v>
      </c>
      <c r="B320" s="17" t="s">
        <v>206</v>
      </c>
      <c r="C320" s="17" t="s">
        <v>140</v>
      </c>
      <c r="D320" s="17" t="s">
        <v>143</v>
      </c>
      <c r="E320" s="17" t="s">
        <v>143</v>
      </c>
      <c r="F320" s="17" t="s">
        <v>156</v>
      </c>
      <c r="G320" s="17" t="s">
        <v>160</v>
      </c>
      <c r="H320" s="17" t="s">
        <v>190</v>
      </c>
    </row>
    <row r="321" customFormat="false" ht="15" hidden="false" customHeight="false" outlineLevel="0" collapsed="false">
      <c r="A321" s="18" t="n">
        <v>46629</v>
      </c>
      <c r="B321" s="17" t="s">
        <v>207</v>
      </c>
      <c r="C321" s="17" t="s">
        <v>140</v>
      </c>
      <c r="D321" s="17" t="s">
        <v>143</v>
      </c>
      <c r="E321" s="17" t="s">
        <v>143</v>
      </c>
      <c r="F321" s="17" t="s">
        <v>156</v>
      </c>
      <c r="G321" s="17" t="s">
        <v>160</v>
      </c>
      <c r="H321" s="17" t="s">
        <v>191</v>
      </c>
    </row>
    <row r="322" customFormat="false" ht="15" hidden="false" customHeight="false" outlineLevel="0" collapsed="false">
      <c r="A322" s="18" t="n">
        <v>46630</v>
      </c>
      <c r="B322" s="17" t="s">
        <v>208</v>
      </c>
      <c r="C322" s="17" t="s">
        <v>140</v>
      </c>
      <c r="D322" s="17" t="s">
        <v>143</v>
      </c>
      <c r="E322" s="17" t="s">
        <v>143</v>
      </c>
      <c r="F322" s="17" t="s">
        <v>156</v>
      </c>
      <c r="G322" s="17" t="s">
        <v>160</v>
      </c>
      <c r="H322" s="17" t="s">
        <v>193</v>
      </c>
    </row>
    <row r="323" customFormat="false" ht="15" hidden="false" customHeight="false" outlineLevel="0" collapsed="false">
      <c r="A323" s="18" t="n">
        <v>46631</v>
      </c>
      <c r="B323" s="17" t="s">
        <v>209</v>
      </c>
      <c r="C323" s="17" t="s">
        <v>140</v>
      </c>
      <c r="D323" s="17" t="s">
        <v>143</v>
      </c>
      <c r="E323" s="17" t="s">
        <v>143</v>
      </c>
      <c r="F323" s="17" t="s">
        <v>148</v>
      </c>
      <c r="G323" s="17" t="s">
        <v>160</v>
      </c>
      <c r="H323" s="17" t="s">
        <v>170</v>
      </c>
    </row>
    <row r="324" customFormat="false" ht="15" hidden="false" customHeight="false" outlineLevel="0" collapsed="false">
      <c r="A324" s="18" t="n">
        <v>46632</v>
      </c>
      <c r="B324" s="17" t="s">
        <v>203</v>
      </c>
      <c r="C324" s="17" t="s">
        <v>140</v>
      </c>
      <c r="D324" s="17" t="s">
        <v>143</v>
      </c>
      <c r="E324" s="17" t="s">
        <v>143</v>
      </c>
      <c r="F324" s="17" t="s">
        <v>148</v>
      </c>
      <c r="G324" s="17" t="s">
        <v>160</v>
      </c>
      <c r="H324" s="17" t="s">
        <v>181</v>
      </c>
    </row>
    <row r="325" customFormat="false" ht="15" hidden="false" customHeight="false" outlineLevel="0" collapsed="false">
      <c r="A325" s="18" t="n">
        <v>46633</v>
      </c>
      <c r="B325" s="17" t="s">
        <v>204</v>
      </c>
      <c r="C325" s="17" t="s">
        <v>140</v>
      </c>
      <c r="D325" s="17" t="s">
        <v>143</v>
      </c>
      <c r="E325" s="17" t="s">
        <v>143</v>
      </c>
      <c r="F325" s="17" t="s">
        <v>148</v>
      </c>
      <c r="G325" s="17" t="s">
        <v>160</v>
      </c>
      <c r="H325" s="17" t="s">
        <v>192</v>
      </c>
    </row>
    <row r="326" customFormat="false" ht="15" hidden="false" customHeight="false" outlineLevel="0" collapsed="false">
      <c r="A326" s="18" t="n">
        <v>46634</v>
      </c>
      <c r="B326" s="17" t="s">
        <v>205</v>
      </c>
      <c r="C326" s="17" t="s">
        <v>140</v>
      </c>
      <c r="D326" s="17" t="s">
        <v>143</v>
      </c>
      <c r="E326" s="17" t="s">
        <v>143</v>
      </c>
      <c r="F326" s="17" t="s">
        <v>148</v>
      </c>
      <c r="G326" s="17" t="s">
        <v>160</v>
      </c>
      <c r="H326" s="17" t="s">
        <v>194</v>
      </c>
    </row>
    <row r="327" customFormat="false" ht="15" hidden="false" customHeight="false" outlineLevel="0" collapsed="false">
      <c r="A327" s="18" t="n">
        <v>46635</v>
      </c>
      <c r="B327" s="17" t="s">
        <v>206</v>
      </c>
      <c r="C327" s="17" t="s">
        <v>140</v>
      </c>
      <c r="D327" s="17" t="s">
        <v>143</v>
      </c>
      <c r="E327" s="17" t="s">
        <v>143</v>
      </c>
      <c r="F327" s="17" t="s">
        <v>148</v>
      </c>
      <c r="G327" s="17" t="s">
        <v>160</v>
      </c>
      <c r="H327" s="17" t="s">
        <v>195</v>
      </c>
    </row>
    <row r="328" customFormat="false" ht="15" hidden="false" customHeight="false" outlineLevel="0" collapsed="false">
      <c r="A328" s="18" t="n">
        <v>46636</v>
      </c>
      <c r="B328" s="17" t="s">
        <v>207</v>
      </c>
      <c r="C328" s="17" t="s">
        <v>140</v>
      </c>
      <c r="D328" s="17" t="s">
        <v>143</v>
      </c>
      <c r="E328" s="17" t="s">
        <v>143</v>
      </c>
      <c r="F328" s="17" t="s">
        <v>148</v>
      </c>
      <c r="G328" s="17" t="s">
        <v>160</v>
      </c>
      <c r="H328" s="17" t="s">
        <v>196</v>
      </c>
    </row>
    <row r="329" customFormat="false" ht="15" hidden="false" customHeight="false" outlineLevel="0" collapsed="false">
      <c r="A329" s="18" t="n">
        <v>46637</v>
      </c>
      <c r="B329" s="17" t="s">
        <v>208</v>
      </c>
      <c r="C329" s="17" t="s">
        <v>140</v>
      </c>
      <c r="D329" s="17" t="s">
        <v>143</v>
      </c>
      <c r="E329" s="17" t="s">
        <v>143</v>
      </c>
      <c r="F329" s="17" t="s">
        <v>148</v>
      </c>
      <c r="G329" s="17" t="s">
        <v>160</v>
      </c>
      <c r="H329" s="17" t="s">
        <v>197</v>
      </c>
    </row>
    <row r="330" customFormat="false" ht="15" hidden="false" customHeight="false" outlineLevel="0" collapsed="false">
      <c r="A330" s="18" t="n">
        <v>46638</v>
      </c>
      <c r="B330" s="17" t="s">
        <v>209</v>
      </c>
      <c r="C330" s="17" t="s">
        <v>140</v>
      </c>
      <c r="D330" s="17" t="s">
        <v>143</v>
      </c>
      <c r="E330" s="17" t="s">
        <v>143</v>
      </c>
      <c r="F330" s="17" t="s">
        <v>148</v>
      </c>
      <c r="G330" s="17" t="s">
        <v>160</v>
      </c>
      <c r="H330" s="17" t="s">
        <v>198</v>
      </c>
    </row>
    <row r="331" customFormat="false" ht="15" hidden="false" customHeight="false" outlineLevel="0" collapsed="false">
      <c r="A331" s="18" t="n">
        <v>46639</v>
      </c>
      <c r="B331" s="17" t="s">
        <v>203</v>
      </c>
      <c r="C331" s="17" t="s">
        <v>140</v>
      </c>
      <c r="D331" s="17" t="s">
        <v>143</v>
      </c>
      <c r="E331" s="17" t="s">
        <v>143</v>
      </c>
      <c r="F331" s="17" t="s">
        <v>148</v>
      </c>
      <c r="G331" s="17" t="s">
        <v>160</v>
      </c>
      <c r="H331" s="17" t="s">
        <v>199</v>
      </c>
    </row>
    <row r="332" customFormat="false" ht="15" hidden="false" customHeight="false" outlineLevel="0" collapsed="false">
      <c r="A332" s="18" t="n">
        <v>46640</v>
      </c>
      <c r="B332" s="17" t="s">
        <v>204</v>
      </c>
      <c r="C332" s="17" t="s">
        <v>140</v>
      </c>
      <c r="D332" s="17" t="s">
        <v>143</v>
      </c>
      <c r="E332" s="17" t="s">
        <v>143</v>
      </c>
      <c r="F332" s="17" t="s">
        <v>148</v>
      </c>
      <c r="G332" s="17" t="s">
        <v>160</v>
      </c>
      <c r="H332" s="17" t="s">
        <v>171</v>
      </c>
    </row>
    <row r="333" customFormat="false" ht="15" hidden="false" customHeight="false" outlineLevel="0" collapsed="false">
      <c r="A333" s="18" t="n">
        <v>46641</v>
      </c>
      <c r="B333" s="17" t="s">
        <v>205</v>
      </c>
      <c r="C333" s="17" t="s">
        <v>140</v>
      </c>
      <c r="D333" s="17" t="s">
        <v>143</v>
      </c>
      <c r="E333" s="17" t="s">
        <v>143</v>
      </c>
      <c r="F333" s="17" t="s">
        <v>148</v>
      </c>
      <c r="G333" s="17" t="s">
        <v>160</v>
      </c>
      <c r="H333" s="17" t="s">
        <v>172</v>
      </c>
    </row>
    <row r="334" customFormat="false" ht="15" hidden="false" customHeight="false" outlineLevel="0" collapsed="false">
      <c r="A334" s="18" t="n">
        <v>46642</v>
      </c>
      <c r="B334" s="17" t="s">
        <v>206</v>
      </c>
      <c r="C334" s="17" t="s">
        <v>140</v>
      </c>
      <c r="D334" s="17" t="s">
        <v>143</v>
      </c>
      <c r="E334" s="17" t="s">
        <v>143</v>
      </c>
      <c r="F334" s="17" t="s">
        <v>148</v>
      </c>
      <c r="G334" s="17" t="s">
        <v>160</v>
      </c>
      <c r="H334" s="17" t="s">
        <v>173</v>
      </c>
    </row>
    <row r="335" customFormat="false" ht="15" hidden="false" customHeight="false" outlineLevel="0" collapsed="false">
      <c r="A335" s="18" t="n">
        <v>46643</v>
      </c>
      <c r="B335" s="17" t="s">
        <v>207</v>
      </c>
      <c r="C335" s="17" t="s">
        <v>140</v>
      </c>
      <c r="D335" s="17" t="s">
        <v>143</v>
      </c>
      <c r="E335" s="17" t="s">
        <v>143</v>
      </c>
      <c r="F335" s="17" t="s">
        <v>148</v>
      </c>
      <c r="G335" s="17" t="s">
        <v>160</v>
      </c>
      <c r="H335" s="17" t="s">
        <v>174</v>
      </c>
    </row>
    <row r="336" customFormat="false" ht="15" hidden="false" customHeight="false" outlineLevel="0" collapsed="false">
      <c r="A336" s="18" t="n">
        <v>46644</v>
      </c>
      <c r="B336" s="17" t="s">
        <v>208</v>
      </c>
      <c r="C336" s="17" t="s">
        <v>140</v>
      </c>
      <c r="D336" s="17" t="s">
        <v>143</v>
      </c>
      <c r="E336" s="17" t="s">
        <v>143</v>
      </c>
      <c r="F336" s="17" t="s">
        <v>148</v>
      </c>
      <c r="G336" s="17" t="s">
        <v>160</v>
      </c>
      <c r="H336" s="17" t="s">
        <v>175</v>
      </c>
    </row>
    <row r="337" customFormat="false" ht="15" hidden="false" customHeight="false" outlineLevel="0" collapsed="false">
      <c r="A337" s="18" t="n">
        <v>46645</v>
      </c>
      <c r="B337" s="17" t="s">
        <v>209</v>
      </c>
      <c r="C337" s="17" t="s">
        <v>140</v>
      </c>
      <c r="D337" s="17" t="s">
        <v>143</v>
      </c>
      <c r="E337" s="17" t="s">
        <v>142</v>
      </c>
      <c r="F337" s="17" t="s">
        <v>148</v>
      </c>
      <c r="G337" s="17" t="s">
        <v>160</v>
      </c>
      <c r="H337" s="17" t="s">
        <v>176</v>
      </c>
    </row>
    <row r="338" customFormat="false" ht="15" hidden="false" customHeight="false" outlineLevel="0" collapsed="false">
      <c r="A338" s="18" t="n">
        <v>46646</v>
      </c>
      <c r="B338" s="17" t="s">
        <v>203</v>
      </c>
      <c r="C338" s="17" t="s">
        <v>140</v>
      </c>
      <c r="D338" s="17" t="s">
        <v>143</v>
      </c>
      <c r="E338" s="17" t="s">
        <v>142</v>
      </c>
      <c r="F338" s="17" t="s">
        <v>148</v>
      </c>
      <c r="G338" s="17" t="s">
        <v>160</v>
      </c>
      <c r="H338" s="17" t="s">
        <v>177</v>
      </c>
    </row>
    <row r="339" customFormat="false" ht="15" hidden="false" customHeight="false" outlineLevel="0" collapsed="false">
      <c r="A339" s="18" t="n">
        <v>46647</v>
      </c>
      <c r="B339" s="17" t="s">
        <v>204</v>
      </c>
      <c r="C339" s="17" t="s">
        <v>140</v>
      </c>
      <c r="D339" s="17" t="s">
        <v>143</v>
      </c>
      <c r="E339" s="17" t="s">
        <v>142</v>
      </c>
      <c r="F339" s="17" t="s">
        <v>148</v>
      </c>
      <c r="G339" s="17" t="s">
        <v>160</v>
      </c>
      <c r="H339" s="17" t="s">
        <v>178</v>
      </c>
    </row>
    <row r="340" customFormat="false" ht="15" hidden="false" customHeight="false" outlineLevel="0" collapsed="false">
      <c r="A340" s="18" t="n">
        <v>46648</v>
      </c>
      <c r="B340" s="17" t="s">
        <v>205</v>
      </c>
      <c r="C340" s="17" t="s">
        <v>140</v>
      </c>
      <c r="D340" s="17" t="s">
        <v>142</v>
      </c>
      <c r="E340" s="17" t="s">
        <v>142</v>
      </c>
      <c r="F340" s="17" t="s">
        <v>148</v>
      </c>
      <c r="G340" s="17" t="s">
        <v>160</v>
      </c>
      <c r="H340" s="17" t="s">
        <v>179</v>
      </c>
    </row>
    <row r="341" customFormat="false" ht="15" hidden="false" customHeight="false" outlineLevel="0" collapsed="false">
      <c r="A341" s="18" t="n">
        <v>46649</v>
      </c>
      <c r="B341" s="17" t="s">
        <v>206</v>
      </c>
      <c r="C341" s="17" t="s">
        <v>140</v>
      </c>
      <c r="D341" s="17" t="s">
        <v>142</v>
      </c>
      <c r="E341" s="17" t="s">
        <v>142</v>
      </c>
      <c r="F341" s="17" t="s">
        <v>148</v>
      </c>
      <c r="G341" s="17" t="s">
        <v>160</v>
      </c>
      <c r="H341" s="17" t="s">
        <v>180</v>
      </c>
    </row>
    <row r="342" customFormat="false" ht="15" hidden="false" customHeight="false" outlineLevel="0" collapsed="false">
      <c r="A342" s="18" t="n">
        <v>46650</v>
      </c>
      <c r="B342" s="17" t="s">
        <v>207</v>
      </c>
      <c r="C342" s="17" t="s">
        <v>140</v>
      </c>
      <c r="D342" s="17" t="s">
        <v>142</v>
      </c>
      <c r="E342" s="17" t="s">
        <v>142</v>
      </c>
      <c r="F342" s="17" t="s">
        <v>148</v>
      </c>
      <c r="G342" s="17" t="s">
        <v>160</v>
      </c>
      <c r="H342" s="17" t="s">
        <v>182</v>
      </c>
    </row>
    <row r="343" customFormat="false" ht="15" hidden="false" customHeight="false" outlineLevel="0" collapsed="false">
      <c r="A343" s="18" t="n">
        <v>46651</v>
      </c>
      <c r="B343" s="17" t="s">
        <v>208</v>
      </c>
      <c r="C343" s="17" t="s">
        <v>140</v>
      </c>
      <c r="D343" s="17" t="s">
        <v>142</v>
      </c>
      <c r="E343" s="17" t="s">
        <v>142</v>
      </c>
      <c r="F343" s="17" t="s">
        <v>148</v>
      </c>
      <c r="G343" s="17" t="s">
        <v>160</v>
      </c>
      <c r="H343" s="17" t="s">
        <v>183</v>
      </c>
    </row>
    <row r="344" customFormat="false" ht="15" hidden="false" customHeight="false" outlineLevel="0" collapsed="false">
      <c r="A344" s="18" t="n">
        <v>46652</v>
      </c>
      <c r="B344" s="17" t="s">
        <v>209</v>
      </c>
      <c r="C344" s="17" t="s">
        <v>140</v>
      </c>
      <c r="D344" s="17" t="s">
        <v>142</v>
      </c>
      <c r="E344" s="17" t="s">
        <v>142</v>
      </c>
      <c r="F344" s="17" t="s">
        <v>148</v>
      </c>
      <c r="G344" s="17" t="s">
        <v>160</v>
      </c>
      <c r="H344" s="17" t="s">
        <v>184</v>
      </c>
    </row>
    <row r="345" customFormat="false" ht="15" hidden="false" customHeight="false" outlineLevel="0" collapsed="false">
      <c r="A345" s="18" t="n">
        <v>46653</v>
      </c>
      <c r="B345" s="17" t="s">
        <v>203</v>
      </c>
      <c r="C345" s="17" t="s">
        <v>140</v>
      </c>
      <c r="D345" s="17" t="s">
        <v>142</v>
      </c>
      <c r="E345" s="17" t="s">
        <v>142</v>
      </c>
      <c r="F345" s="17" t="s">
        <v>148</v>
      </c>
      <c r="G345" s="17" t="s">
        <v>160</v>
      </c>
      <c r="H345" s="17" t="s">
        <v>185</v>
      </c>
    </row>
    <row r="346" customFormat="false" ht="15" hidden="false" customHeight="false" outlineLevel="0" collapsed="false">
      <c r="A346" s="18" t="n">
        <v>46654</v>
      </c>
      <c r="B346" s="17" t="s">
        <v>204</v>
      </c>
      <c r="C346" s="17" t="s">
        <v>140</v>
      </c>
      <c r="D346" s="17" t="s">
        <v>142</v>
      </c>
      <c r="E346" s="17" t="s">
        <v>142</v>
      </c>
      <c r="F346" s="17" t="s">
        <v>148</v>
      </c>
      <c r="G346" s="17" t="s">
        <v>160</v>
      </c>
      <c r="H346" s="17" t="s">
        <v>186</v>
      </c>
    </row>
    <row r="347" customFormat="false" ht="15" hidden="false" customHeight="false" outlineLevel="0" collapsed="false">
      <c r="A347" s="18" t="n">
        <v>46655</v>
      </c>
      <c r="B347" s="17" t="s">
        <v>205</v>
      </c>
      <c r="C347" s="17" t="s">
        <v>140</v>
      </c>
      <c r="D347" s="17" t="s">
        <v>142</v>
      </c>
      <c r="E347" s="17" t="s">
        <v>142</v>
      </c>
      <c r="F347" s="17" t="s">
        <v>148</v>
      </c>
      <c r="G347" s="17" t="s">
        <v>160</v>
      </c>
      <c r="H347" s="17" t="s">
        <v>187</v>
      </c>
    </row>
    <row r="348" customFormat="false" ht="15" hidden="false" customHeight="false" outlineLevel="0" collapsed="false">
      <c r="A348" s="18" t="n">
        <v>46656</v>
      </c>
      <c r="B348" s="17" t="s">
        <v>206</v>
      </c>
      <c r="C348" s="17" t="s">
        <v>140</v>
      </c>
      <c r="D348" s="17" t="s">
        <v>142</v>
      </c>
      <c r="E348" s="17" t="s">
        <v>142</v>
      </c>
      <c r="F348" s="17" t="s">
        <v>148</v>
      </c>
      <c r="G348" s="17" t="s">
        <v>160</v>
      </c>
      <c r="H348" s="17" t="s">
        <v>188</v>
      </c>
    </row>
    <row r="349" customFormat="false" ht="15" hidden="false" customHeight="false" outlineLevel="0" collapsed="false">
      <c r="A349" s="18" t="n">
        <v>46657</v>
      </c>
      <c r="B349" s="17" t="s">
        <v>207</v>
      </c>
      <c r="C349" s="17" t="s">
        <v>140</v>
      </c>
      <c r="D349" s="17" t="s">
        <v>142</v>
      </c>
      <c r="E349" s="17" t="s">
        <v>142</v>
      </c>
      <c r="F349" s="17" t="s">
        <v>148</v>
      </c>
      <c r="G349" s="17" t="s">
        <v>160</v>
      </c>
      <c r="H349" s="17" t="s">
        <v>189</v>
      </c>
    </row>
    <row r="350" customFormat="false" ht="15" hidden="false" customHeight="false" outlineLevel="0" collapsed="false">
      <c r="A350" s="18" t="n">
        <v>46658</v>
      </c>
      <c r="B350" s="17" t="s">
        <v>208</v>
      </c>
      <c r="C350" s="17" t="s">
        <v>140</v>
      </c>
      <c r="D350" s="17" t="s">
        <v>142</v>
      </c>
      <c r="E350" s="17" t="s">
        <v>142</v>
      </c>
      <c r="F350" s="17" t="s">
        <v>148</v>
      </c>
      <c r="G350" s="17" t="s">
        <v>160</v>
      </c>
      <c r="H350" s="17" t="s">
        <v>190</v>
      </c>
    </row>
    <row r="351" customFormat="false" ht="15" hidden="false" customHeight="false" outlineLevel="0" collapsed="false">
      <c r="A351" s="18" t="n">
        <v>46659</v>
      </c>
      <c r="B351" s="17" t="s">
        <v>209</v>
      </c>
      <c r="C351" s="17" t="s">
        <v>140</v>
      </c>
      <c r="D351" s="17" t="s">
        <v>142</v>
      </c>
      <c r="E351" s="17" t="s">
        <v>142</v>
      </c>
      <c r="F351" s="17" t="s">
        <v>148</v>
      </c>
      <c r="G351" s="17" t="s">
        <v>160</v>
      </c>
      <c r="H351" s="17" t="s">
        <v>191</v>
      </c>
    </row>
    <row r="352" customFormat="false" ht="15" hidden="false" customHeight="false" outlineLevel="0" collapsed="false">
      <c r="A352" s="18" t="n">
        <v>46660</v>
      </c>
      <c r="B352" s="17" t="s">
        <v>203</v>
      </c>
      <c r="C352" s="17" t="s">
        <v>140</v>
      </c>
      <c r="D352" s="17" t="s">
        <v>142</v>
      </c>
      <c r="E352" s="17" t="s">
        <v>142</v>
      </c>
      <c r="F352" s="17" t="s">
        <v>147</v>
      </c>
      <c r="G352" s="17" t="s">
        <v>160</v>
      </c>
      <c r="H352" s="17" t="s">
        <v>170</v>
      </c>
    </row>
    <row r="353" customFormat="false" ht="15" hidden="false" customHeight="false" outlineLevel="0" collapsed="false">
      <c r="A353" s="18" t="n">
        <v>46661</v>
      </c>
      <c r="B353" s="17" t="s">
        <v>204</v>
      </c>
      <c r="C353" s="17" t="s">
        <v>140</v>
      </c>
      <c r="D353" s="17" t="s">
        <v>142</v>
      </c>
      <c r="E353" s="17" t="s">
        <v>142</v>
      </c>
      <c r="F353" s="17" t="s">
        <v>147</v>
      </c>
      <c r="G353" s="17" t="s">
        <v>160</v>
      </c>
      <c r="H353" s="17" t="s">
        <v>181</v>
      </c>
    </row>
    <row r="354" customFormat="false" ht="15" hidden="false" customHeight="false" outlineLevel="0" collapsed="false">
      <c r="A354" s="18" t="n">
        <v>46662</v>
      </c>
      <c r="B354" s="17" t="s">
        <v>205</v>
      </c>
      <c r="C354" s="17" t="s">
        <v>140</v>
      </c>
      <c r="D354" s="17" t="s">
        <v>142</v>
      </c>
      <c r="E354" s="17" t="s">
        <v>142</v>
      </c>
      <c r="F354" s="17" t="s">
        <v>147</v>
      </c>
      <c r="G354" s="17" t="s">
        <v>160</v>
      </c>
      <c r="H354" s="17" t="s">
        <v>192</v>
      </c>
    </row>
    <row r="355" customFormat="false" ht="15" hidden="false" customHeight="false" outlineLevel="0" collapsed="false">
      <c r="A355" s="18" t="n">
        <v>46663</v>
      </c>
      <c r="B355" s="17" t="s">
        <v>206</v>
      </c>
      <c r="C355" s="17" t="s">
        <v>140</v>
      </c>
      <c r="D355" s="17" t="s">
        <v>142</v>
      </c>
      <c r="E355" s="17" t="s">
        <v>142</v>
      </c>
      <c r="F355" s="17" t="s">
        <v>147</v>
      </c>
      <c r="G355" s="17" t="s">
        <v>160</v>
      </c>
      <c r="H355" s="17" t="s">
        <v>194</v>
      </c>
    </row>
    <row r="356" customFormat="false" ht="15" hidden="false" customHeight="false" outlineLevel="0" collapsed="false">
      <c r="A356" s="18" t="n">
        <v>46664</v>
      </c>
      <c r="B356" s="17" t="s">
        <v>207</v>
      </c>
      <c r="C356" s="17" t="s">
        <v>140</v>
      </c>
      <c r="D356" s="17" t="s">
        <v>142</v>
      </c>
      <c r="E356" s="17" t="s">
        <v>142</v>
      </c>
      <c r="F356" s="17" t="s">
        <v>147</v>
      </c>
      <c r="G356" s="17" t="s">
        <v>160</v>
      </c>
      <c r="H356" s="17" t="s">
        <v>195</v>
      </c>
    </row>
    <row r="357" customFormat="false" ht="15" hidden="false" customHeight="false" outlineLevel="0" collapsed="false">
      <c r="A357" s="18" t="n">
        <v>46665</v>
      </c>
      <c r="B357" s="17" t="s">
        <v>208</v>
      </c>
      <c r="C357" s="17" t="s">
        <v>140</v>
      </c>
      <c r="D357" s="17" t="s">
        <v>142</v>
      </c>
      <c r="E357" s="17" t="s">
        <v>142</v>
      </c>
      <c r="F357" s="17" t="s">
        <v>147</v>
      </c>
      <c r="G357" s="17" t="s">
        <v>160</v>
      </c>
      <c r="H357" s="17" t="s">
        <v>196</v>
      </c>
    </row>
    <row r="358" customFormat="false" ht="15" hidden="false" customHeight="false" outlineLevel="0" collapsed="false">
      <c r="A358" s="18" t="n">
        <v>46666</v>
      </c>
      <c r="B358" s="17" t="s">
        <v>209</v>
      </c>
      <c r="C358" s="17" t="s">
        <v>140</v>
      </c>
      <c r="D358" s="17" t="s">
        <v>142</v>
      </c>
      <c r="E358" s="17" t="s">
        <v>142</v>
      </c>
      <c r="F358" s="17" t="s">
        <v>147</v>
      </c>
      <c r="G358" s="17" t="s">
        <v>160</v>
      </c>
      <c r="H358" s="17" t="s">
        <v>197</v>
      </c>
    </row>
    <row r="359" customFormat="false" ht="15" hidden="false" customHeight="false" outlineLevel="0" collapsed="false">
      <c r="A359" s="18" t="n">
        <v>46667</v>
      </c>
      <c r="B359" s="17" t="s">
        <v>203</v>
      </c>
      <c r="C359" s="17" t="s">
        <v>140</v>
      </c>
      <c r="D359" s="17" t="s">
        <v>142</v>
      </c>
      <c r="E359" s="17" t="s">
        <v>142</v>
      </c>
      <c r="F359" s="17" t="s">
        <v>147</v>
      </c>
      <c r="G359" s="17" t="s">
        <v>160</v>
      </c>
      <c r="H359" s="17" t="s">
        <v>198</v>
      </c>
    </row>
    <row r="360" customFormat="false" ht="15" hidden="false" customHeight="false" outlineLevel="0" collapsed="false">
      <c r="A360" s="18" t="n">
        <v>46668</v>
      </c>
      <c r="B360" s="17" t="s">
        <v>204</v>
      </c>
      <c r="C360" s="17" t="s">
        <v>140</v>
      </c>
      <c r="D360" s="17" t="s">
        <v>142</v>
      </c>
      <c r="E360" s="17" t="s">
        <v>142</v>
      </c>
      <c r="F360" s="17" t="s">
        <v>147</v>
      </c>
      <c r="G360" s="17" t="s">
        <v>160</v>
      </c>
      <c r="H360" s="17" t="s">
        <v>199</v>
      </c>
    </row>
    <row r="361" customFormat="false" ht="15" hidden="false" customHeight="false" outlineLevel="0" collapsed="false">
      <c r="A361" s="18" t="n">
        <v>46669</v>
      </c>
      <c r="B361" s="17" t="s">
        <v>205</v>
      </c>
      <c r="C361" s="17" t="s">
        <v>140</v>
      </c>
      <c r="D361" s="17" t="s">
        <v>142</v>
      </c>
      <c r="E361" s="17" t="s">
        <v>142</v>
      </c>
      <c r="F361" s="17" t="s">
        <v>147</v>
      </c>
      <c r="G361" s="17" t="s">
        <v>160</v>
      </c>
      <c r="H361" s="17" t="s">
        <v>171</v>
      </c>
    </row>
    <row r="362" customFormat="false" ht="15" hidden="false" customHeight="false" outlineLevel="0" collapsed="false">
      <c r="A362" s="18" t="n">
        <v>46670</v>
      </c>
      <c r="B362" s="17" t="s">
        <v>206</v>
      </c>
      <c r="C362" s="17" t="s">
        <v>140</v>
      </c>
      <c r="D362" s="17" t="s">
        <v>142</v>
      </c>
      <c r="E362" s="17" t="s">
        <v>142</v>
      </c>
      <c r="F362" s="17" t="s">
        <v>147</v>
      </c>
      <c r="G362" s="17" t="s">
        <v>160</v>
      </c>
      <c r="H362" s="17" t="s">
        <v>172</v>
      </c>
    </row>
    <row r="363" customFormat="false" ht="15" hidden="false" customHeight="false" outlineLevel="0" collapsed="false">
      <c r="A363" s="18" t="n">
        <v>46671</v>
      </c>
      <c r="B363" s="17" t="s">
        <v>207</v>
      </c>
      <c r="C363" s="17" t="s">
        <v>140</v>
      </c>
      <c r="D363" s="17" t="s">
        <v>142</v>
      </c>
      <c r="E363" s="17" t="s">
        <v>142</v>
      </c>
      <c r="F363" s="17" t="s">
        <v>147</v>
      </c>
      <c r="G363" s="17" t="s">
        <v>160</v>
      </c>
      <c r="H363" s="17" t="s">
        <v>173</v>
      </c>
    </row>
    <row r="364" customFormat="false" ht="15" hidden="false" customHeight="false" outlineLevel="0" collapsed="false">
      <c r="A364" s="18" t="n">
        <v>46672</v>
      </c>
      <c r="B364" s="17" t="s">
        <v>208</v>
      </c>
      <c r="C364" s="17" t="s">
        <v>140</v>
      </c>
      <c r="D364" s="17" t="s">
        <v>142</v>
      </c>
      <c r="E364" s="17" t="s">
        <v>142</v>
      </c>
      <c r="F364" s="17" t="s">
        <v>147</v>
      </c>
      <c r="G364" s="17" t="s">
        <v>160</v>
      </c>
      <c r="H364" s="17" t="s">
        <v>174</v>
      </c>
    </row>
    <row r="365" customFormat="false" ht="15" hidden="false" customHeight="false" outlineLevel="0" collapsed="false">
      <c r="A365" s="18" t="n">
        <v>46673</v>
      </c>
      <c r="B365" s="17" t="s">
        <v>209</v>
      </c>
      <c r="C365" s="17" t="s">
        <v>140</v>
      </c>
      <c r="D365" s="17" t="s">
        <v>142</v>
      </c>
      <c r="E365" s="17" t="s">
        <v>142</v>
      </c>
      <c r="F365" s="17" t="s">
        <v>147</v>
      </c>
      <c r="G365" s="17" t="s">
        <v>160</v>
      </c>
      <c r="H365" s="17" t="s">
        <v>175</v>
      </c>
    </row>
    <row r="366" customFormat="false" ht="15" hidden="false" customHeight="false" outlineLevel="0" collapsed="false">
      <c r="A366" s="18" t="n">
        <v>46674</v>
      </c>
      <c r="B366" s="17" t="s">
        <v>203</v>
      </c>
      <c r="C366" s="17" t="s">
        <v>140</v>
      </c>
      <c r="D366" s="17" t="s">
        <v>142</v>
      </c>
      <c r="E366" s="17" t="s">
        <v>142</v>
      </c>
      <c r="F366" s="17" t="s">
        <v>147</v>
      </c>
      <c r="G366" s="17" t="s">
        <v>160</v>
      </c>
      <c r="H366" s="17" t="s">
        <v>176</v>
      </c>
    </row>
    <row r="367" customFormat="false" ht="15" hidden="false" customHeight="false" outlineLevel="0" collapsed="false">
      <c r="A367" s="18" t="n">
        <v>46675</v>
      </c>
      <c r="B367" s="17" t="s">
        <v>204</v>
      </c>
      <c r="C367" s="17" t="s">
        <v>140</v>
      </c>
      <c r="D367" s="17" t="s">
        <v>142</v>
      </c>
      <c r="E367" s="17" t="s">
        <v>142</v>
      </c>
      <c r="F367" s="17" t="s">
        <v>147</v>
      </c>
      <c r="G367" s="17" t="s">
        <v>160</v>
      </c>
      <c r="H367" s="17" t="s">
        <v>177</v>
      </c>
    </row>
    <row r="368" customFormat="false" ht="15" hidden="false" customHeight="false" outlineLevel="0" collapsed="false">
      <c r="A368" s="18" t="n">
        <v>46676</v>
      </c>
      <c r="B368" s="17" t="s">
        <v>205</v>
      </c>
      <c r="C368" s="17" t="s">
        <v>140</v>
      </c>
      <c r="D368" s="17" t="s">
        <v>142</v>
      </c>
      <c r="E368" s="17" t="s">
        <v>142</v>
      </c>
      <c r="F368" s="17" t="s">
        <v>147</v>
      </c>
      <c r="G368" s="17" t="s">
        <v>160</v>
      </c>
      <c r="H368" s="17" t="s">
        <v>178</v>
      </c>
    </row>
    <row r="369" customFormat="false" ht="15" hidden="false" customHeight="false" outlineLevel="0" collapsed="false">
      <c r="A369" s="18" t="n">
        <v>46677</v>
      </c>
      <c r="B369" s="17" t="s">
        <v>206</v>
      </c>
      <c r="C369" s="17" t="s">
        <v>140</v>
      </c>
      <c r="D369" s="17" t="s">
        <v>142</v>
      </c>
      <c r="E369" s="17" t="s">
        <v>142</v>
      </c>
      <c r="F369" s="17" t="s">
        <v>147</v>
      </c>
      <c r="G369" s="17" t="s">
        <v>160</v>
      </c>
      <c r="H369" s="17" t="s">
        <v>179</v>
      </c>
    </row>
    <row r="370" customFormat="false" ht="15" hidden="false" customHeight="false" outlineLevel="0" collapsed="false">
      <c r="A370" s="18" t="n">
        <v>46678</v>
      </c>
      <c r="B370" s="17" t="s">
        <v>207</v>
      </c>
      <c r="C370" s="17" t="s">
        <v>140</v>
      </c>
      <c r="D370" s="17" t="s">
        <v>142</v>
      </c>
      <c r="E370" s="17" t="s">
        <v>142</v>
      </c>
      <c r="F370" s="17" t="s">
        <v>147</v>
      </c>
      <c r="G370" s="17" t="s">
        <v>160</v>
      </c>
      <c r="H370" s="17" t="s">
        <v>180</v>
      </c>
    </row>
    <row r="371" customFormat="false" ht="15" hidden="false" customHeight="false" outlineLevel="0" collapsed="false">
      <c r="A371" s="18" t="n">
        <v>46679</v>
      </c>
      <c r="B371" s="17" t="s">
        <v>208</v>
      </c>
      <c r="C371" s="17" t="s">
        <v>140</v>
      </c>
      <c r="D371" s="17" t="s">
        <v>142</v>
      </c>
      <c r="E371" s="17" t="s">
        <v>142</v>
      </c>
      <c r="F371" s="17" t="s">
        <v>147</v>
      </c>
      <c r="G371" s="17" t="s">
        <v>160</v>
      </c>
      <c r="H371" s="17" t="s">
        <v>182</v>
      </c>
    </row>
    <row r="372" customFormat="false" ht="15" hidden="false" customHeight="false" outlineLevel="0" collapsed="false">
      <c r="A372" s="18" t="n">
        <v>46680</v>
      </c>
      <c r="B372" s="17" t="s">
        <v>209</v>
      </c>
      <c r="C372" s="17" t="s">
        <v>140</v>
      </c>
      <c r="D372" s="17" t="s">
        <v>142</v>
      </c>
      <c r="E372" s="17" t="s">
        <v>142</v>
      </c>
      <c r="F372" s="17" t="s">
        <v>147</v>
      </c>
      <c r="G372" s="17" t="s">
        <v>160</v>
      </c>
      <c r="H372" s="17" t="s">
        <v>183</v>
      </c>
    </row>
    <row r="373" customFormat="false" ht="15" hidden="false" customHeight="false" outlineLevel="0" collapsed="false">
      <c r="A373" s="18" t="n">
        <v>46681</v>
      </c>
      <c r="B373" s="17" t="s">
        <v>203</v>
      </c>
      <c r="C373" s="17" t="s">
        <v>140</v>
      </c>
      <c r="D373" s="17" t="s">
        <v>142</v>
      </c>
      <c r="E373" s="17" t="s">
        <v>142</v>
      </c>
      <c r="F373" s="17" t="s">
        <v>147</v>
      </c>
      <c r="G373" s="17" t="s">
        <v>160</v>
      </c>
      <c r="H373" s="17" t="s">
        <v>184</v>
      </c>
    </row>
    <row r="374" customFormat="false" ht="15" hidden="false" customHeight="false" outlineLevel="0" collapsed="false">
      <c r="A374" s="18" t="n">
        <v>46682</v>
      </c>
      <c r="B374" s="17" t="s">
        <v>204</v>
      </c>
      <c r="C374" s="17" t="s">
        <v>140</v>
      </c>
      <c r="D374" s="17" t="s">
        <v>142</v>
      </c>
      <c r="E374" s="17" t="s">
        <v>142</v>
      </c>
      <c r="F374" s="17" t="s">
        <v>147</v>
      </c>
      <c r="G374" s="17" t="s">
        <v>160</v>
      </c>
      <c r="H374" s="17" t="s">
        <v>185</v>
      </c>
    </row>
    <row r="375" customFormat="false" ht="15" hidden="false" customHeight="false" outlineLevel="0" collapsed="false">
      <c r="A375" s="18" t="n">
        <v>46683</v>
      </c>
      <c r="B375" s="17" t="s">
        <v>205</v>
      </c>
      <c r="C375" s="17" t="s">
        <v>140</v>
      </c>
      <c r="D375" s="17" t="s">
        <v>142</v>
      </c>
      <c r="E375" s="17" t="s">
        <v>142</v>
      </c>
      <c r="F375" s="17" t="s">
        <v>147</v>
      </c>
      <c r="G375" s="17" t="s">
        <v>160</v>
      </c>
      <c r="H375" s="17" t="s">
        <v>186</v>
      </c>
    </row>
    <row r="376" customFormat="false" ht="15" hidden="false" customHeight="false" outlineLevel="0" collapsed="false">
      <c r="A376" s="18" t="n">
        <v>46684</v>
      </c>
      <c r="B376" s="17" t="s">
        <v>206</v>
      </c>
      <c r="C376" s="17" t="s">
        <v>140</v>
      </c>
      <c r="D376" s="17" t="s">
        <v>142</v>
      </c>
      <c r="E376" s="17" t="s">
        <v>142</v>
      </c>
      <c r="F376" s="17" t="s">
        <v>147</v>
      </c>
      <c r="G376" s="17" t="s">
        <v>160</v>
      </c>
      <c r="H376" s="17" t="s">
        <v>187</v>
      </c>
    </row>
    <row r="377" customFormat="false" ht="15" hidden="false" customHeight="false" outlineLevel="0" collapsed="false">
      <c r="A377" s="18" t="n">
        <v>46685</v>
      </c>
      <c r="B377" s="17" t="s">
        <v>207</v>
      </c>
      <c r="C377" s="17" t="s">
        <v>140</v>
      </c>
      <c r="D377" s="17" t="s">
        <v>142</v>
      </c>
      <c r="E377" s="17" t="s">
        <v>142</v>
      </c>
      <c r="F377" s="17" t="s">
        <v>147</v>
      </c>
      <c r="G377" s="17" t="s">
        <v>160</v>
      </c>
      <c r="H377" s="17" t="s">
        <v>188</v>
      </c>
    </row>
    <row r="378" customFormat="false" ht="15" hidden="false" customHeight="false" outlineLevel="0" collapsed="false">
      <c r="A378" s="18" t="n">
        <v>46686</v>
      </c>
      <c r="B378" s="17" t="s">
        <v>208</v>
      </c>
      <c r="C378" s="17" t="s">
        <v>140</v>
      </c>
      <c r="D378" s="17" t="s">
        <v>142</v>
      </c>
      <c r="E378" s="17" t="s">
        <v>142</v>
      </c>
      <c r="F378" s="17" t="s">
        <v>147</v>
      </c>
      <c r="G378" s="17" t="s">
        <v>160</v>
      </c>
      <c r="H378" s="17" t="s">
        <v>189</v>
      </c>
    </row>
    <row r="379" customFormat="false" ht="15" hidden="false" customHeight="false" outlineLevel="0" collapsed="false">
      <c r="A379" s="18" t="n">
        <v>46687</v>
      </c>
      <c r="B379" s="17" t="s">
        <v>209</v>
      </c>
      <c r="C379" s="17" t="s">
        <v>140</v>
      </c>
      <c r="D379" s="17" t="s">
        <v>142</v>
      </c>
      <c r="E379" s="17" t="s">
        <v>142</v>
      </c>
      <c r="F379" s="17" t="s">
        <v>147</v>
      </c>
      <c r="G379" s="17" t="s">
        <v>160</v>
      </c>
      <c r="H379" s="17" t="s">
        <v>190</v>
      </c>
    </row>
    <row r="380" customFormat="false" ht="15" hidden="false" customHeight="false" outlineLevel="0" collapsed="false">
      <c r="A380" s="18" t="n">
        <v>46688</v>
      </c>
      <c r="B380" s="17" t="s">
        <v>203</v>
      </c>
      <c r="C380" s="17" t="s">
        <v>140</v>
      </c>
      <c r="D380" s="17" t="s">
        <v>142</v>
      </c>
      <c r="E380" s="17" t="s">
        <v>142</v>
      </c>
      <c r="F380" s="17" t="s">
        <v>147</v>
      </c>
      <c r="G380" s="17" t="s">
        <v>160</v>
      </c>
      <c r="H380" s="17" t="s">
        <v>191</v>
      </c>
    </row>
    <row r="381" customFormat="false" ht="15" hidden="false" customHeight="false" outlineLevel="0" collapsed="false">
      <c r="A381" s="18" t="n">
        <v>46689</v>
      </c>
      <c r="B381" s="17" t="s">
        <v>204</v>
      </c>
      <c r="C381" s="17" t="s">
        <v>140</v>
      </c>
      <c r="D381" s="17" t="s">
        <v>142</v>
      </c>
      <c r="E381" s="17" t="s">
        <v>142</v>
      </c>
      <c r="F381" s="17" t="s">
        <v>147</v>
      </c>
      <c r="G381" s="17" t="s">
        <v>160</v>
      </c>
      <c r="H381" s="17" t="s">
        <v>170</v>
      </c>
    </row>
    <row r="382" customFormat="false" ht="15" hidden="false" customHeight="false" outlineLevel="0" collapsed="false">
      <c r="A382" s="18" t="n">
        <v>46690</v>
      </c>
      <c r="B382" s="17" t="s">
        <v>205</v>
      </c>
      <c r="C382" s="17" t="s">
        <v>140</v>
      </c>
      <c r="D382" s="17" t="s">
        <v>142</v>
      </c>
      <c r="E382" s="17" t="s">
        <v>142</v>
      </c>
      <c r="F382" s="17" t="s">
        <v>151</v>
      </c>
      <c r="G382" s="17" t="s">
        <v>160</v>
      </c>
      <c r="H382" s="17" t="s">
        <v>181</v>
      </c>
    </row>
    <row r="383" customFormat="false" ht="15" hidden="false" customHeight="false" outlineLevel="0" collapsed="false">
      <c r="A383" s="18" t="n">
        <v>46691</v>
      </c>
      <c r="B383" s="17" t="s">
        <v>206</v>
      </c>
      <c r="C383" s="17" t="s">
        <v>140</v>
      </c>
      <c r="D383" s="17" t="s">
        <v>142</v>
      </c>
      <c r="E383" s="17" t="s">
        <v>142</v>
      </c>
      <c r="F383" s="17" t="s">
        <v>151</v>
      </c>
      <c r="G383" s="17" t="s">
        <v>160</v>
      </c>
      <c r="H383" s="17" t="s">
        <v>192</v>
      </c>
    </row>
    <row r="384" customFormat="false" ht="15" hidden="false" customHeight="false" outlineLevel="0" collapsed="false">
      <c r="A384" s="18" t="n">
        <v>46692</v>
      </c>
      <c r="B384" s="17" t="s">
        <v>207</v>
      </c>
      <c r="C384" s="17" t="s">
        <v>140</v>
      </c>
      <c r="D384" s="17" t="s">
        <v>142</v>
      </c>
      <c r="E384" s="17" t="s">
        <v>142</v>
      </c>
      <c r="F384" s="17" t="s">
        <v>151</v>
      </c>
      <c r="G384" s="17" t="s">
        <v>160</v>
      </c>
      <c r="H384" s="17" t="s">
        <v>194</v>
      </c>
    </row>
    <row r="385" customFormat="false" ht="15" hidden="false" customHeight="false" outlineLevel="0" collapsed="false">
      <c r="A385" s="18" t="n">
        <v>46693</v>
      </c>
      <c r="B385" s="17" t="s">
        <v>208</v>
      </c>
      <c r="C385" s="17" t="s">
        <v>140</v>
      </c>
      <c r="D385" s="17" t="s">
        <v>142</v>
      </c>
      <c r="E385" s="17" t="s">
        <v>142</v>
      </c>
      <c r="F385" s="17" t="s">
        <v>151</v>
      </c>
      <c r="G385" s="17" t="s">
        <v>160</v>
      </c>
      <c r="H385" s="17" t="s">
        <v>195</v>
      </c>
    </row>
    <row r="386" customFormat="false" ht="15" hidden="false" customHeight="false" outlineLevel="0" collapsed="false">
      <c r="A386" s="18" t="n">
        <v>46694</v>
      </c>
      <c r="B386" s="17" t="s">
        <v>209</v>
      </c>
      <c r="C386" s="17" t="s">
        <v>140</v>
      </c>
      <c r="D386" s="17" t="s">
        <v>142</v>
      </c>
      <c r="E386" s="17" t="s">
        <v>142</v>
      </c>
      <c r="F386" s="17" t="s">
        <v>151</v>
      </c>
      <c r="G386" s="17" t="s">
        <v>160</v>
      </c>
      <c r="H386" s="17" t="s">
        <v>196</v>
      </c>
    </row>
    <row r="387" customFormat="false" ht="15" hidden="false" customHeight="false" outlineLevel="0" collapsed="false">
      <c r="A387" s="18" t="n">
        <v>46695</v>
      </c>
      <c r="B387" s="17" t="s">
        <v>203</v>
      </c>
      <c r="C387" s="17" t="s">
        <v>140</v>
      </c>
      <c r="D387" s="17" t="s">
        <v>142</v>
      </c>
      <c r="E387" s="17" t="s">
        <v>142</v>
      </c>
      <c r="F387" s="17" t="s">
        <v>151</v>
      </c>
      <c r="G387" s="17" t="s">
        <v>160</v>
      </c>
      <c r="H387" s="17" t="s">
        <v>197</v>
      </c>
    </row>
    <row r="388" customFormat="false" ht="15" hidden="false" customHeight="false" outlineLevel="0" collapsed="false">
      <c r="A388" s="18" t="n">
        <v>46696</v>
      </c>
      <c r="B388" s="17" t="s">
        <v>204</v>
      </c>
      <c r="C388" s="17" t="s">
        <v>140</v>
      </c>
      <c r="D388" s="17" t="s">
        <v>142</v>
      </c>
      <c r="E388" s="17" t="s">
        <v>142</v>
      </c>
      <c r="F388" s="17" t="s">
        <v>151</v>
      </c>
      <c r="G388" s="17" t="s">
        <v>160</v>
      </c>
      <c r="H388" s="17" t="s">
        <v>198</v>
      </c>
    </row>
    <row r="389" customFormat="false" ht="15" hidden="false" customHeight="false" outlineLevel="0" collapsed="false">
      <c r="A389" s="18" t="n">
        <v>46697</v>
      </c>
      <c r="B389" s="17" t="s">
        <v>205</v>
      </c>
      <c r="C389" s="17" t="s">
        <v>140</v>
      </c>
      <c r="D389" s="17" t="s">
        <v>142</v>
      </c>
      <c r="E389" s="17" t="s">
        <v>142</v>
      </c>
      <c r="F389" s="17" t="s">
        <v>151</v>
      </c>
      <c r="G389" s="17" t="s">
        <v>160</v>
      </c>
      <c r="H389" s="17" t="s">
        <v>199</v>
      </c>
    </row>
    <row r="390" customFormat="false" ht="15" hidden="false" customHeight="false" outlineLevel="0" collapsed="false">
      <c r="A390" s="18" t="n">
        <v>46698</v>
      </c>
      <c r="B390" s="17" t="s">
        <v>206</v>
      </c>
      <c r="C390" s="17" t="s">
        <v>140</v>
      </c>
      <c r="D390" s="17" t="s">
        <v>142</v>
      </c>
      <c r="E390" s="17" t="s">
        <v>142</v>
      </c>
      <c r="F390" s="17" t="s">
        <v>151</v>
      </c>
      <c r="G390" s="17" t="s">
        <v>160</v>
      </c>
      <c r="H390" s="17" t="s">
        <v>171</v>
      </c>
    </row>
    <row r="391" customFormat="false" ht="15" hidden="false" customHeight="false" outlineLevel="0" collapsed="false">
      <c r="A391" s="18" t="n">
        <v>46699</v>
      </c>
      <c r="B391" s="17" t="s">
        <v>207</v>
      </c>
      <c r="C391" s="17" t="s">
        <v>140</v>
      </c>
      <c r="D391" s="17" t="s">
        <v>142</v>
      </c>
      <c r="E391" s="17" t="s">
        <v>142</v>
      </c>
      <c r="F391" s="17" t="s">
        <v>151</v>
      </c>
      <c r="G391" s="17" t="s">
        <v>160</v>
      </c>
      <c r="H391" s="17" t="s">
        <v>172</v>
      </c>
    </row>
    <row r="392" customFormat="false" ht="15" hidden="false" customHeight="false" outlineLevel="0" collapsed="false">
      <c r="A392" s="18" t="n">
        <v>46700</v>
      </c>
      <c r="B392" s="17" t="s">
        <v>208</v>
      </c>
      <c r="C392" s="17" t="s">
        <v>140</v>
      </c>
      <c r="D392" s="17" t="s">
        <v>142</v>
      </c>
      <c r="E392" s="17" t="s">
        <v>142</v>
      </c>
      <c r="F392" s="17" t="s">
        <v>151</v>
      </c>
      <c r="G392" s="17" t="s">
        <v>160</v>
      </c>
      <c r="H392" s="17" t="s">
        <v>173</v>
      </c>
    </row>
    <row r="393" customFormat="false" ht="15" hidden="false" customHeight="false" outlineLevel="0" collapsed="false">
      <c r="A393" s="18" t="n">
        <v>46701</v>
      </c>
      <c r="B393" s="17" t="s">
        <v>209</v>
      </c>
      <c r="C393" s="17" t="s">
        <v>140</v>
      </c>
      <c r="D393" s="17" t="s">
        <v>142</v>
      </c>
      <c r="E393" s="17" t="s">
        <v>142</v>
      </c>
      <c r="F393" s="17" t="s">
        <v>151</v>
      </c>
      <c r="G393" s="17" t="s">
        <v>160</v>
      </c>
      <c r="H393" s="17" t="s">
        <v>174</v>
      </c>
    </row>
    <row r="394" customFormat="false" ht="15" hidden="false" customHeight="false" outlineLevel="0" collapsed="false">
      <c r="A394" s="18" t="n">
        <v>46702</v>
      </c>
      <c r="B394" s="17" t="s">
        <v>203</v>
      </c>
      <c r="C394" s="17" t="s">
        <v>140</v>
      </c>
      <c r="D394" s="17" t="s">
        <v>142</v>
      </c>
      <c r="E394" s="17" t="s">
        <v>142</v>
      </c>
      <c r="F394" s="17" t="s">
        <v>151</v>
      </c>
      <c r="G394" s="17" t="s">
        <v>160</v>
      </c>
      <c r="H394" s="17" t="s">
        <v>175</v>
      </c>
    </row>
    <row r="395" customFormat="false" ht="15" hidden="false" customHeight="false" outlineLevel="0" collapsed="false">
      <c r="A395" s="18" t="n">
        <v>46703</v>
      </c>
      <c r="B395" s="17" t="s">
        <v>204</v>
      </c>
      <c r="C395" s="17" t="s">
        <v>140</v>
      </c>
      <c r="D395" s="17" t="s">
        <v>142</v>
      </c>
      <c r="E395" s="17" t="s">
        <v>142</v>
      </c>
      <c r="F395" s="17" t="s">
        <v>151</v>
      </c>
      <c r="G395" s="17" t="s">
        <v>160</v>
      </c>
      <c r="H395" s="17" t="s">
        <v>176</v>
      </c>
    </row>
    <row r="396" customFormat="false" ht="15" hidden="false" customHeight="false" outlineLevel="0" collapsed="false">
      <c r="A396" s="18" t="n">
        <v>46704</v>
      </c>
      <c r="B396" s="17" t="s">
        <v>205</v>
      </c>
      <c r="C396" s="17" t="s">
        <v>140</v>
      </c>
      <c r="D396" s="17" t="s">
        <v>142</v>
      </c>
      <c r="E396" s="17" t="s">
        <v>142</v>
      </c>
      <c r="F396" s="17" t="s">
        <v>151</v>
      </c>
      <c r="G396" s="17" t="s">
        <v>160</v>
      </c>
      <c r="H396" s="17" t="s">
        <v>177</v>
      </c>
    </row>
    <row r="397" customFormat="false" ht="15" hidden="false" customHeight="false" outlineLevel="0" collapsed="false">
      <c r="A397" s="18" t="n">
        <v>46705</v>
      </c>
      <c r="B397" s="17" t="s">
        <v>206</v>
      </c>
      <c r="C397" s="17" t="s">
        <v>140</v>
      </c>
      <c r="D397" s="17" t="s">
        <v>142</v>
      </c>
      <c r="E397" s="17" t="s">
        <v>142</v>
      </c>
      <c r="F397" s="17" t="s">
        <v>151</v>
      </c>
      <c r="G397" s="17" t="s">
        <v>160</v>
      </c>
      <c r="H397" s="17" t="s">
        <v>178</v>
      </c>
    </row>
    <row r="398" customFormat="false" ht="15" hidden="false" customHeight="false" outlineLevel="0" collapsed="false">
      <c r="A398" s="18" t="n">
        <v>46706</v>
      </c>
      <c r="B398" s="17" t="s">
        <v>207</v>
      </c>
      <c r="C398" s="17" t="s">
        <v>140</v>
      </c>
      <c r="D398" s="17" t="s">
        <v>142</v>
      </c>
      <c r="E398" s="17" t="s">
        <v>142</v>
      </c>
      <c r="F398" s="17" t="s">
        <v>151</v>
      </c>
      <c r="G398" s="17" t="s">
        <v>160</v>
      </c>
      <c r="H398" s="17" t="s">
        <v>179</v>
      </c>
    </row>
    <row r="399" customFormat="false" ht="15" hidden="false" customHeight="false" outlineLevel="0" collapsed="false">
      <c r="A399" s="18" t="n">
        <v>46707</v>
      </c>
      <c r="B399" s="17" t="s">
        <v>208</v>
      </c>
      <c r="C399" s="17" t="s">
        <v>140</v>
      </c>
      <c r="D399" s="17" t="s">
        <v>142</v>
      </c>
      <c r="E399" s="17" t="s">
        <v>142</v>
      </c>
      <c r="F399" s="17" t="s">
        <v>151</v>
      </c>
      <c r="G399" s="17" t="s">
        <v>160</v>
      </c>
      <c r="H399" s="17" t="s">
        <v>180</v>
      </c>
    </row>
    <row r="400" customFormat="false" ht="15" hidden="false" customHeight="false" outlineLevel="0" collapsed="false">
      <c r="A400" s="18" t="n">
        <v>46708</v>
      </c>
      <c r="B400" s="17" t="s">
        <v>209</v>
      </c>
      <c r="C400" s="17" t="s">
        <v>140</v>
      </c>
      <c r="D400" s="17" t="s">
        <v>142</v>
      </c>
      <c r="E400" s="17" t="s">
        <v>142</v>
      </c>
      <c r="F400" s="17" t="s">
        <v>151</v>
      </c>
      <c r="G400" s="17" t="s">
        <v>160</v>
      </c>
      <c r="H400" s="17" t="s">
        <v>182</v>
      </c>
    </row>
    <row r="401" customFormat="false" ht="15" hidden="false" customHeight="false" outlineLevel="0" collapsed="false">
      <c r="A401" s="18" t="n">
        <v>46709</v>
      </c>
      <c r="B401" s="17" t="s">
        <v>203</v>
      </c>
      <c r="C401" s="17" t="s">
        <v>140</v>
      </c>
      <c r="D401" s="17" t="s">
        <v>142</v>
      </c>
      <c r="E401" s="17" t="s">
        <v>142</v>
      </c>
      <c r="F401" s="17" t="s">
        <v>151</v>
      </c>
      <c r="G401" s="17" t="s">
        <v>160</v>
      </c>
      <c r="H401" s="17" t="s">
        <v>183</v>
      </c>
    </row>
    <row r="402" customFormat="false" ht="15" hidden="false" customHeight="false" outlineLevel="0" collapsed="false">
      <c r="A402" s="18" t="n">
        <v>46710</v>
      </c>
      <c r="B402" s="17" t="s">
        <v>204</v>
      </c>
      <c r="C402" s="17" t="s">
        <v>140</v>
      </c>
      <c r="D402" s="17" t="s">
        <v>142</v>
      </c>
      <c r="E402" s="17" t="s">
        <v>142</v>
      </c>
      <c r="F402" s="17" t="s">
        <v>151</v>
      </c>
      <c r="G402" s="17" t="s">
        <v>160</v>
      </c>
      <c r="H402" s="17" t="s">
        <v>184</v>
      </c>
    </row>
    <row r="403" customFormat="false" ht="15" hidden="false" customHeight="false" outlineLevel="0" collapsed="false">
      <c r="A403" s="18" t="n">
        <v>46711</v>
      </c>
      <c r="B403" s="17" t="s">
        <v>205</v>
      </c>
      <c r="C403" s="17" t="s">
        <v>140</v>
      </c>
      <c r="D403" s="17" t="s">
        <v>142</v>
      </c>
      <c r="E403" s="17" t="s">
        <v>142</v>
      </c>
      <c r="F403" s="17" t="s">
        <v>151</v>
      </c>
      <c r="G403" s="17" t="s">
        <v>160</v>
      </c>
      <c r="H403" s="17" t="s">
        <v>185</v>
      </c>
    </row>
    <row r="404" customFormat="false" ht="15" hidden="false" customHeight="false" outlineLevel="0" collapsed="false">
      <c r="A404" s="18" t="n">
        <v>46712</v>
      </c>
      <c r="B404" s="17" t="s">
        <v>206</v>
      </c>
      <c r="C404" s="17" t="s">
        <v>140</v>
      </c>
      <c r="D404" s="17" t="s">
        <v>142</v>
      </c>
      <c r="E404" s="17" t="s">
        <v>142</v>
      </c>
      <c r="F404" s="17" t="s">
        <v>151</v>
      </c>
      <c r="G404" s="17" t="s">
        <v>160</v>
      </c>
      <c r="H404" s="17" t="s">
        <v>186</v>
      </c>
    </row>
    <row r="405" customFormat="false" ht="15" hidden="false" customHeight="false" outlineLevel="0" collapsed="false">
      <c r="A405" s="18" t="n">
        <v>46713</v>
      </c>
      <c r="B405" s="17" t="s">
        <v>207</v>
      </c>
      <c r="C405" s="17" t="s">
        <v>140</v>
      </c>
      <c r="D405" s="17" t="s">
        <v>142</v>
      </c>
      <c r="E405" s="17" t="s">
        <v>142</v>
      </c>
      <c r="F405" s="17" t="s">
        <v>151</v>
      </c>
      <c r="G405" s="17" t="s">
        <v>160</v>
      </c>
      <c r="H405" s="17" t="s">
        <v>187</v>
      </c>
    </row>
    <row r="406" customFormat="false" ht="15" hidden="false" customHeight="false" outlineLevel="0" collapsed="false">
      <c r="A406" s="18" t="n">
        <v>46714</v>
      </c>
      <c r="B406" s="17" t="s">
        <v>208</v>
      </c>
      <c r="C406" s="17" t="s">
        <v>140</v>
      </c>
      <c r="D406" s="17" t="s">
        <v>142</v>
      </c>
      <c r="E406" s="17" t="s">
        <v>142</v>
      </c>
      <c r="F406" s="17" t="s">
        <v>151</v>
      </c>
      <c r="G406" s="17" t="s">
        <v>160</v>
      </c>
      <c r="H406" s="17" t="s">
        <v>188</v>
      </c>
    </row>
    <row r="407" customFormat="false" ht="15" hidden="false" customHeight="false" outlineLevel="0" collapsed="false">
      <c r="A407" s="18" t="n">
        <v>46715</v>
      </c>
      <c r="B407" s="17" t="s">
        <v>209</v>
      </c>
      <c r="C407" s="17" t="s">
        <v>140</v>
      </c>
      <c r="D407" s="17" t="s">
        <v>142</v>
      </c>
      <c r="E407" s="17" t="s">
        <v>142</v>
      </c>
      <c r="F407" s="17" t="s">
        <v>151</v>
      </c>
      <c r="G407" s="17" t="s">
        <v>160</v>
      </c>
      <c r="H407" s="17" t="s">
        <v>189</v>
      </c>
    </row>
    <row r="408" customFormat="false" ht="15" hidden="false" customHeight="false" outlineLevel="0" collapsed="false">
      <c r="A408" s="18" t="n">
        <v>46716</v>
      </c>
      <c r="B408" s="17" t="s">
        <v>203</v>
      </c>
      <c r="C408" s="17" t="s">
        <v>140</v>
      </c>
      <c r="D408" s="17" t="s">
        <v>142</v>
      </c>
      <c r="E408" s="17" t="s">
        <v>142</v>
      </c>
      <c r="F408" s="17" t="s">
        <v>151</v>
      </c>
      <c r="G408" s="17" t="s">
        <v>160</v>
      </c>
      <c r="H408" s="17" t="s">
        <v>190</v>
      </c>
    </row>
    <row r="409" customFormat="false" ht="15" hidden="false" customHeight="false" outlineLevel="0" collapsed="false">
      <c r="A409" s="18" t="n">
        <v>46717</v>
      </c>
      <c r="B409" s="17" t="s">
        <v>204</v>
      </c>
      <c r="C409" s="17" t="s">
        <v>140</v>
      </c>
      <c r="D409" s="17" t="s">
        <v>142</v>
      </c>
      <c r="E409" s="17" t="s">
        <v>142</v>
      </c>
      <c r="F409" s="17" t="s">
        <v>151</v>
      </c>
      <c r="G409" s="17" t="s">
        <v>160</v>
      </c>
      <c r="H409" s="17" t="s">
        <v>191</v>
      </c>
    </row>
    <row r="410" customFormat="false" ht="15" hidden="false" customHeight="false" outlineLevel="0" collapsed="false">
      <c r="A410" s="18" t="n">
        <v>46718</v>
      </c>
      <c r="B410" s="17" t="s">
        <v>205</v>
      </c>
      <c r="C410" s="17" t="s">
        <v>140</v>
      </c>
      <c r="D410" s="17" t="s">
        <v>142</v>
      </c>
      <c r="E410" s="17" t="s">
        <v>142</v>
      </c>
      <c r="F410" s="17" t="s">
        <v>151</v>
      </c>
      <c r="G410" s="17" t="s">
        <v>160</v>
      </c>
      <c r="H410" s="17" t="s">
        <v>193</v>
      </c>
    </row>
    <row r="411" customFormat="false" ht="15" hidden="false" customHeight="false" outlineLevel="0" collapsed="false">
      <c r="A411" s="18" t="n">
        <v>46719</v>
      </c>
      <c r="B411" s="17" t="s">
        <v>206</v>
      </c>
      <c r="C411" s="17" t="s">
        <v>140</v>
      </c>
      <c r="D411" s="17" t="s">
        <v>142</v>
      </c>
      <c r="E411" s="17" t="s">
        <v>142</v>
      </c>
      <c r="F411" s="17" t="s">
        <v>153</v>
      </c>
      <c r="G411" s="17" t="s">
        <v>160</v>
      </c>
      <c r="H411" s="17" t="s">
        <v>170</v>
      </c>
    </row>
    <row r="412" customFormat="false" ht="15" hidden="false" customHeight="false" outlineLevel="0" collapsed="false">
      <c r="A412" s="18" t="n">
        <v>46720</v>
      </c>
      <c r="B412" s="17" t="s">
        <v>207</v>
      </c>
      <c r="C412" s="17" t="s">
        <v>140</v>
      </c>
      <c r="D412" s="17" t="s">
        <v>142</v>
      </c>
      <c r="E412" s="17" t="s">
        <v>142</v>
      </c>
      <c r="F412" s="17" t="s">
        <v>153</v>
      </c>
      <c r="G412" s="17" t="s">
        <v>160</v>
      </c>
      <c r="H412" s="17" t="s">
        <v>181</v>
      </c>
    </row>
    <row r="413" customFormat="false" ht="15" hidden="false" customHeight="false" outlineLevel="0" collapsed="false">
      <c r="A413" s="18" t="n">
        <v>46721</v>
      </c>
      <c r="B413" s="17" t="s">
        <v>208</v>
      </c>
      <c r="C413" s="17" t="s">
        <v>140</v>
      </c>
      <c r="D413" s="17" t="s">
        <v>142</v>
      </c>
      <c r="E413" s="17" t="s">
        <v>142</v>
      </c>
      <c r="F413" s="17" t="s">
        <v>153</v>
      </c>
      <c r="G413" s="17" t="s">
        <v>160</v>
      </c>
      <c r="H413" s="17" t="s">
        <v>192</v>
      </c>
    </row>
    <row r="414" customFormat="false" ht="15" hidden="false" customHeight="false" outlineLevel="0" collapsed="false">
      <c r="A414" s="18" t="n">
        <v>46722</v>
      </c>
      <c r="B414" s="17" t="s">
        <v>209</v>
      </c>
      <c r="C414" s="17" t="s">
        <v>140</v>
      </c>
      <c r="D414" s="17" t="s">
        <v>142</v>
      </c>
      <c r="E414" s="17" t="s">
        <v>142</v>
      </c>
      <c r="F414" s="17" t="s">
        <v>153</v>
      </c>
      <c r="G414" s="17" t="s">
        <v>160</v>
      </c>
      <c r="H414" s="17" t="s">
        <v>194</v>
      </c>
    </row>
    <row r="415" customFormat="false" ht="15" hidden="false" customHeight="false" outlineLevel="0" collapsed="false">
      <c r="A415" s="18" t="n">
        <v>46723</v>
      </c>
      <c r="B415" s="17" t="s">
        <v>203</v>
      </c>
      <c r="C415" s="17" t="s">
        <v>140</v>
      </c>
      <c r="D415" s="17" t="s">
        <v>142</v>
      </c>
      <c r="E415" s="17" t="s">
        <v>142</v>
      </c>
      <c r="F415" s="17" t="s">
        <v>153</v>
      </c>
      <c r="G415" s="17" t="s">
        <v>160</v>
      </c>
      <c r="H415" s="17" t="s">
        <v>195</v>
      </c>
    </row>
    <row r="416" customFormat="false" ht="15" hidden="false" customHeight="false" outlineLevel="0" collapsed="false">
      <c r="A416" s="18" t="n">
        <v>46724</v>
      </c>
      <c r="B416" s="17" t="s">
        <v>204</v>
      </c>
      <c r="C416" s="17" t="s">
        <v>140</v>
      </c>
      <c r="D416" s="17" t="s">
        <v>142</v>
      </c>
      <c r="E416" s="17" t="s">
        <v>142</v>
      </c>
      <c r="F416" s="17" t="s">
        <v>153</v>
      </c>
      <c r="G416" s="17" t="s">
        <v>160</v>
      </c>
      <c r="H416" s="17" t="s">
        <v>196</v>
      </c>
    </row>
    <row r="417" customFormat="false" ht="15" hidden="false" customHeight="false" outlineLevel="0" collapsed="false">
      <c r="A417" s="18" t="n">
        <v>46725</v>
      </c>
      <c r="B417" s="17" t="s">
        <v>205</v>
      </c>
      <c r="C417" s="17" t="s">
        <v>140</v>
      </c>
      <c r="D417" s="17" t="s">
        <v>142</v>
      </c>
      <c r="E417" s="17" t="s">
        <v>142</v>
      </c>
      <c r="F417" s="17" t="s">
        <v>153</v>
      </c>
      <c r="G417" s="17" t="s">
        <v>160</v>
      </c>
      <c r="H417" s="17" t="s">
        <v>197</v>
      </c>
    </row>
    <row r="418" customFormat="false" ht="15" hidden="false" customHeight="false" outlineLevel="0" collapsed="false">
      <c r="A418" s="18" t="n">
        <v>46726</v>
      </c>
      <c r="B418" s="17" t="s">
        <v>206</v>
      </c>
      <c r="C418" s="17" t="s">
        <v>140</v>
      </c>
      <c r="D418" s="17" t="s">
        <v>142</v>
      </c>
      <c r="E418" s="17" t="s">
        <v>142</v>
      </c>
      <c r="F418" s="17" t="s">
        <v>153</v>
      </c>
      <c r="G418" s="17" t="s">
        <v>160</v>
      </c>
      <c r="H418" s="17" t="s">
        <v>198</v>
      </c>
    </row>
    <row r="419" customFormat="false" ht="15" hidden="false" customHeight="false" outlineLevel="0" collapsed="false">
      <c r="A419" s="18" t="n">
        <v>46727</v>
      </c>
      <c r="B419" s="17" t="s">
        <v>207</v>
      </c>
      <c r="C419" s="17" t="s">
        <v>140</v>
      </c>
      <c r="D419" s="17" t="s">
        <v>142</v>
      </c>
      <c r="E419" s="17" t="s">
        <v>142</v>
      </c>
      <c r="F419" s="17" t="s">
        <v>153</v>
      </c>
      <c r="G419" s="17" t="s">
        <v>160</v>
      </c>
      <c r="H419" s="17" t="s">
        <v>199</v>
      </c>
    </row>
    <row r="420" customFormat="false" ht="15" hidden="false" customHeight="false" outlineLevel="0" collapsed="false">
      <c r="A420" s="18" t="n">
        <v>46728</v>
      </c>
      <c r="B420" s="17" t="s">
        <v>208</v>
      </c>
      <c r="C420" s="17" t="s">
        <v>140</v>
      </c>
      <c r="D420" s="17" t="s">
        <v>142</v>
      </c>
      <c r="E420" s="17" t="s">
        <v>142</v>
      </c>
      <c r="F420" s="17" t="s">
        <v>153</v>
      </c>
      <c r="G420" s="17" t="s">
        <v>160</v>
      </c>
      <c r="H420" s="17" t="s">
        <v>171</v>
      </c>
    </row>
    <row r="421" customFormat="false" ht="15" hidden="false" customHeight="false" outlineLevel="0" collapsed="false">
      <c r="A421" s="18" t="n">
        <v>46729</v>
      </c>
      <c r="B421" s="17" t="s">
        <v>209</v>
      </c>
      <c r="C421" s="17" t="s">
        <v>140</v>
      </c>
      <c r="D421" s="17" t="s">
        <v>142</v>
      </c>
      <c r="E421" s="17" t="s">
        <v>142</v>
      </c>
      <c r="F421" s="17" t="s">
        <v>153</v>
      </c>
      <c r="G421" s="17" t="s">
        <v>160</v>
      </c>
      <c r="H421" s="17" t="s">
        <v>172</v>
      </c>
    </row>
    <row r="422" customFormat="false" ht="15" hidden="false" customHeight="false" outlineLevel="0" collapsed="false">
      <c r="A422" s="18" t="n">
        <v>46730</v>
      </c>
      <c r="B422" s="17" t="s">
        <v>203</v>
      </c>
      <c r="C422" s="17" t="s">
        <v>140</v>
      </c>
      <c r="D422" s="17" t="s">
        <v>142</v>
      </c>
      <c r="E422" s="17" t="s">
        <v>142</v>
      </c>
      <c r="F422" s="17" t="s">
        <v>153</v>
      </c>
      <c r="G422" s="17" t="s">
        <v>160</v>
      </c>
      <c r="H422" s="17" t="s">
        <v>173</v>
      </c>
    </row>
    <row r="423" customFormat="false" ht="15" hidden="false" customHeight="false" outlineLevel="0" collapsed="false">
      <c r="A423" s="18" t="n">
        <v>46731</v>
      </c>
      <c r="B423" s="17" t="s">
        <v>204</v>
      </c>
      <c r="C423" s="17" t="s">
        <v>140</v>
      </c>
      <c r="D423" s="17" t="s">
        <v>142</v>
      </c>
      <c r="E423" s="17" t="s">
        <v>142</v>
      </c>
      <c r="F423" s="17" t="s">
        <v>153</v>
      </c>
      <c r="G423" s="17" t="s">
        <v>160</v>
      </c>
      <c r="H423" s="17" t="s">
        <v>174</v>
      </c>
    </row>
    <row r="424" customFormat="false" ht="15" hidden="false" customHeight="false" outlineLevel="0" collapsed="false">
      <c r="A424" s="18" t="n">
        <v>46732</v>
      </c>
      <c r="B424" s="17" t="s">
        <v>205</v>
      </c>
      <c r="C424" s="17" t="s">
        <v>140</v>
      </c>
      <c r="D424" s="17" t="s">
        <v>142</v>
      </c>
      <c r="E424" s="17" t="s">
        <v>142</v>
      </c>
      <c r="F424" s="17" t="s">
        <v>153</v>
      </c>
      <c r="G424" s="17" t="s">
        <v>160</v>
      </c>
      <c r="H424" s="17" t="s">
        <v>175</v>
      </c>
    </row>
    <row r="425" customFormat="false" ht="15" hidden="false" customHeight="false" outlineLevel="0" collapsed="false">
      <c r="A425" s="18" t="n">
        <v>46733</v>
      </c>
      <c r="B425" s="17" t="s">
        <v>206</v>
      </c>
      <c r="C425" s="17" t="s">
        <v>140</v>
      </c>
      <c r="D425" s="17" t="s">
        <v>142</v>
      </c>
      <c r="E425" s="17" t="s">
        <v>142</v>
      </c>
      <c r="F425" s="17" t="s">
        <v>153</v>
      </c>
      <c r="G425" s="17" t="s">
        <v>160</v>
      </c>
      <c r="H425" s="17" t="s">
        <v>176</v>
      </c>
    </row>
    <row r="426" customFormat="false" ht="15" hidden="false" customHeight="false" outlineLevel="0" collapsed="false">
      <c r="A426" s="18" t="n">
        <v>46734</v>
      </c>
      <c r="B426" s="17" t="s">
        <v>207</v>
      </c>
      <c r="C426" s="17" t="s">
        <v>140</v>
      </c>
      <c r="D426" s="17" t="s">
        <v>142</v>
      </c>
      <c r="E426" s="17" t="s">
        <v>142</v>
      </c>
      <c r="F426" s="17" t="s">
        <v>153</v>
      </c>
      <c r="G426" s="17" t="s">
        <v>160</v>
      </c>
      <c r="H426" s="17" t="s">
        <v>177</v>
      </c>
    </row>
    <row r="427" customFormat="false" ht="15" hidden="false" customHeight="false" outlineLevel="0" collapsed="false">
      <c r="A427" s="18" t="n">
        <v>46735</v>
      </c>
      <c r="B427" s="17" t="s">
        <v>208</v>
      </c>
      <c r="C427" s="17" t="s">
        <v>140</v>
      </c>
      <c r="D427" s="17" t="s">
        <v>142</v>
      </c>
      <c r="E427" s="17" t="s">
        <v>142</v>
      </c>
      <c r="F427" s="17" t="s">
        <v>153</v>
      </c>
      <c r="G427" s="17" t="s">
        <v>160</v>
      </c>
      <c r="H427" s="17" t="s">
        <v>178</v>
      </c>
    </row>
    <row r="428" customFormat="false" ht="15" hidden="false" customHeight="false" outlineLevel="0" collapsed="false">
      <c r="A428" s="18" t="n">
        <v>46736</v>
      </c>
      <c r="B428" s="17" t="s">
        <v>209</v>
      </c>
      <c r="C428" s="17" t="s">
        <v>140</v>
      </c>
      <c r="D428" s="17" t="s">
        <v>142</v>
      </c>
      <c r="E428" s="17" t="s">
        <v>142</v>
      </c>
      <c r="F428" s="17" t="s">
        <v>153</v>
      </c>
      <c r="G428" s="17" t="s">
        <v>160</v>
      </c>
      <c r="H428" s="17" t="s">
        <v>179</v>
      </c>
    </row>
    <row r="429" customFormat="false" ht="15" hidden="false" customHeight="false" outlineLevel="0" collapsed="false">
      <c r="A429" s="18" t="n">
        <v>46737</v>
      </c>
      <c r="B429" s="17" t="s">
        <v>203</v>
      </c>
      <c r="C429" s="17" t="s">
        <v>140</v>
      </c>
      <c r="D429" s="17" t="s">
        <v>142</v>
      </c>
      <c r="E429" s="17" t="s">
        <v>142</v>
      </c>
      <c r="F429" s="17" t="s">
        <v>153</v>
      </c>
      <c r="G429" s="17" t="s">
        <v>160</v>
      </c>
      <c r="H429" s="17" t="s">
        <v>180</v>
      </c>
    </row>
    <row r="430" customFormat="false" ht="15" hidden="false" customHeight="false" outlineLevel="0" collapsed="false">
      <c r="A430" s="18" t="n">
        <v>46738</v>
      </c>
      <c r="B430" s="17" t="s">
        <v>204</v>
      </c>
      <c r="C430" s="17" t="s">
        <v>140</v>
      </c>
      <c r="D430" s="17" t="s">
        <v>142</v>
      </c>
      <c r="E430" s="17" t="s">
        <v>142</v>
      </c>
      <c r="F430" s="17" t="s">
        <v>153</v>
      </c>
      <c r="G430" s="17" t="s">
        <v>160</v>
      </c>
      <c r="H430" s="17" t="s">
        <v>182</v>
      </c>
    </row>
    <row r="431" customFormat="false" ht="15" hidden="false" customHeight="false" outlineLevel="0" collapsed="false">
      <c r="A431" s="18" t="n">
        <v>46739</v>
      </c>
      <c r="B431" s="17" t="s">
        <v>205</v>
      </c>
      <c r="C431" s="17" t="s">
        <v>140</v>
      </c>
      <c r="D431" s="17" t="s">
        <v>142</v>
      </c>
      <c r="E431" s="17" t="s">
        <v>142</v>
      </c>
      <c r="F431" s="17" t="s">
        <v>153</v>
      </c>
      <c r="G431" s="17" t="s">
        <v>160</v>
      </c>
      <c r="H431" s="17" t="s">
        <v>183</v>
      </c>
    </row>
    <row r="432" customFormat="false" ht="15" hidden="false" customHeight="false" outlineLevel="0" collapsed="false">
      <c r="A432" s="18" t="n">
        <v>46740</v>
      </c>
      <c r="B432" s="17" t="s">
        <v>206</v>
      </c>
      <c r="C432" s="17" t="s">
        <v>140</v>
      </c>
      <c r="D432" s="17" t="s">
        <v>142</v>
      </c>
      <c r="E432" s="17" t="s">
        <v>142</v>
      </c>
      <c r="F432" s="17" t="s">
        <v>153</v>
      </c>
      <c r="G432" s="17" t="s">
        <v>160</v>
      </c>
      <c r="H432" s="17" t="s">
        <v>184</v>
      </c>
    </row>
    <row r="433" customFormat="false" ht="15" hidden="false" customHeight="false" outlineLevel="0" collapsed="false">
      <c r="A433" s="18" t="n">
        <v>46741</v>
      </c>
      <c r="B433" s="17" t="s">
        <v>207</v>
      </c>
      <c r="C433" s="17" t="s">
        <v>140</v>
      </c>
      <c r="D433" s="17" t="s">
        <v>142</v>
      </c>
      <c r="E433" s="17" t="s">
        <v>142</v>
      </c>
      <c r="F433" s="17" t="s">
        <v>153</v>
      </c>
      <c r="G433" s="17" t="s">
        <v>160</v>
      </c>
      <c r="H433" s="17" t="s">
        <v>185</v>
      </c>
    </row>
    <row r="434" customFormat="false" ht="15" hidden="false" customHeight="false" outlineLevel="0" collapsed="false">
      <c r="A434" s="18" t="n">
        <v>46742</v>
      </c>
      <c r="B434" s="17" t="s">
        <v>208</v>
      </c>
      <c r="C434" s="17" t="s">
        <v>140</v>
      </c>
      <c r="D434" s="17" t="s">
        <v>142</v>
      </c>
      <c r="E434" s="17" t="s">
        <v>142</v>
      </c>
      <c r="F434" s="17" t="s">
        <v>153</v>
      </c>
      <c r="G434" s="17" t="s">
        <v>160</v>
      </c>
      <c r="H434" s="17" t="s">
        <v>186</v>
      </c>
    </row>
    <row r="435" customFormat="false" ht="15" hidden="false" customHeight="false" outlineLevel="0" collapsed="false">
      <c r="A435" s="18" t="n">
        <v>46743</v>
      </c>
      <c r="B435" s="17" t="s">
        <v>209</v>
      </c>
      <c r="C435" s="17" t="s">
        <v>140</v>
      </c>
      <c r="D435" s="17" t="s">
        <v>142</v>
      </c>
      <c r="E435" s="17" t="s">
        <v>142</v>
      </c>
      <c r="F435" s="17" t="s">
        <v>153</v>
      </c>
      <c r="G435" s="17" t="s">
        <v>160</v>
      </c>
      <c r="H435" s="17" t="s">
        <v>187</v>
      </c>
    </row>
    <row r="436" customFormat="false" ht="15" hidden="false" customHeight="false" outlineLevel="0" collapsed="false">
      <c r="A436" s="18" t="n">
        <v>46744</v>
      </c>
      <c r="B436" s="17" t="s">
        <v>203</v>
      </c>
      <c r="C436" s="17" t="s">
        <v>140</v>
      </c>
      <c r="D436" s="17" t="s">
        <v>142</v>
      </c>
      <c r="E436" s="17" t="s">
        <v>142</v>
      </c>
      <c r="F436" s="17" t="s">
        <v>153</v>
      </c>
      <c r="G436" s="17" t="s">
        <v>160</v>
      </c>
      <c r="H436" s="17" t="s">
        <v>188</v>
      </c>
    </row>
    <row r="437" customFormat="false" ht="15" hidden="false" customHeight="false" outlineLevel="0" collapsed="false">
      <c r="A437" s="18" t="n">
        <v>46745</v>
      </c>
      <c r="B437" s="17" t="s">
        <v>204</v>
      </c>
      <c r="C437" s="17" t="s">
        <v>140</v>
      </c>
      <c r="D437" s="17" t="s">
        <v>142</v>
      </c>
      <c r="E437" s="17" t="s">
        <v>142</v>
      </c>
      <c r="F437" s="17" t="s">
        <v>153</v>
      </c>
      <c r="G437" s="17" t="s">
        <v>160</v>
      </c>
      <c r="H437" s="17" t="s">
        <v>189</v>
      </c>
    </row>
    <row r="438" customFormat="false" ht="15" hidden="false" customHeight="false" outlineLevel="0" collapsed="false">
      <c r="A438" s="18" t="n">
        <v>46746</v>
      </c>
      <c r="B438" s="17" t="s">
        <v>205</v>
      </c>
      <c r="C438" s="17" t="s">
        <v>140</v>
      </c>
      <c r="D438" s="17" t="s">
        <v>142</v>
      </c>
      <c r="E438" s="17" t="s">
        <v>142</v>
      </c>
      <c r="F438" s="17" t="s">
        <v>153</v>
      </c>
      <c r="G438" s="17" t="s">
        <v>160</v>
      </c>
      <c r="H438" s="17" t="s">
        <v>190</v>
      </c>
    </row>
    <row r="439" customFormat="false" ht="15" hidden="false" customHeight="false" outlineLevel="0" collapsed="false">
      <c r="A439" s="18" t="n">
        <v>46747</v>
      </c>
      <c r="B439" s="17" t="s">
        <v>206</v>
      </c>
      <c r="C439" s="17" t="s">
        <v>140</v>
      </c>
      <c r="D439" s="17" t="s">
        <v>142</v>
      </c>
      <c r="E439" s="17" t="s">
        <v>142</v>
      </c>
      <c r="F439" s="17" t="s">
        <v>153</v>
      </c>
      <c r="G439" s="17" t="s">
        <v>160</v>
      </c>
      <c r="H439" s="17" t="s">
        <v>191</v>
      </c>
    </row>
    <row r="440" customFormat="false" ht="15" hidden="false" customHeight="false" outlineLevel="0" collapsed="false">
      <c r="A440" s="18" t="n">
        <v>46748</v>
      </c>
      <c r="B440" s="17" t="s">
        <v>207</v>
      </c>
      <c r="C440" s="17" t="s">
        <v>140</v>
      </c>
      <c r="D440" s="17" t="s">
        <v>142</v>
      </c>
      <c r="E440" s="17" t="s">
        <v>142</v>
      </c>
      <c r="F440" s="17" t="s">
        <v>153</v>
      </c>
      <c r="G440" s="17" t="s">
        <v>160</v>
      </c>
      <c r="H440" s="17" t="s">
        <v>193</v>
      </c>
    </row>
    <row r="441" customFormat="false" ht="15" hidden="false" customHeight="false" outlineLevel="0" collapsed="false">
      <c r="A441" s="18" t="n">
        <v>46749</v>
      </c>
      <c r="B441" s="17" t="s">
        <v>208</v>
      </c>
      <c r="C441" s="17" t="s">
        <v>140</v>
      </c>
      <c r="D441" s="17" t="s">
        <v>142</v>
      </c>
      <c r="E441" s="17" t="s">
        <v>142</v>
      </c>
      <c r="F441" s="17" t="s">
        <v>154</v>
      </c>
      <c r="G441" s="17" t="s">
        <v>160</v>
      </c>
      <c r="H441" s="17" t="s">
        <v>170</v>
      </c>
    </row>
    <row r="443" customFormat="false" ht="15" hidden="false" customHeight="false" outlineLevel="0" collapsed="false">
      <c r="A443" s="5" t="s">
        <v>210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2026-10-17T02:54:12Z</dcterms:created>
  <dc:creator>openpyxl</dc:creator>
  <dc:description/>
  <dc:language>en-US</dc:language>
  <cp:lastModifiedBy/>
  <dcterms:modified xsi:type="dcterms:W3CDTF">2026-10-17T02:54:13Z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